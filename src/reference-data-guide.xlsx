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Architecture" sheetId="2" state="visible" r:id="rId4"/>
    <sheet name="DAO API" sheetId="3" state="visible" r:id="rId5"/>
    <sheet name="Modes &amp; Policies" sheetId="4" state="visible" r:id="rId6"/>
    <sheet name="Policy Matrix" sheetId="5" state="visible" r:id="rId7"/>
    <sheet name="Full Loads" sheetId="6" state="visible" r:id="rId8"/>
    <sheet name="Client x Server" sheetId="7" state="visible" r:id="rId9"/>
    <sheet name="Config Reference" sheetId="8" state="visible" r:id="rId10"/>
    <sheet name="Validation" sheetId="9" state="visible" r:id="rId11"/>
    <sheet name="Bridge" sheetId="10" state="visible" r:id="rId12"/>
    <sheet name="Benchmark" sheetId="11" state="visible" r:id="rId13"/>
    <sheet name="Logging" sheetId="12" state="visible" r:id="rId14"/>
    <sheet name="Open Item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<sst xmlns="http://schemas.openxmlformats.org/spreadsheetml/2006/main" count="934" uniqueCount="609">
  <si>
    <t xml:space="preserve">Reference Data Platform: Complete Guide</t>
  </si>
  <si>
    <t xml:space="preserve">Pre-built reference data DAOs (40 datasets in production; 4 in the sample) on Spring Cache. A consumer app reads a dataset either from its own source (EMBEDDED) or from reference-data-server (DELEGATE) through the bridge, with the same DAO API either way. This workbook explains every part.</t>
  </si>
  <si>
    <t xml:space="preserve">Modules</t>
  </si>
  <si>
    <t xml:space="preserve">Module</t>
  </si>
  <si>
    <t xml:space="preserve">Role</t>
  </si>
  <si>
    <t xml:space="preserve">Main classes</t>
  </si>
  <si>
    <t xml:space="preserve">reference-data-core</t>
  </si>
  <si>
    <t xml:space="preserve">Shared engine: DAO base class, cache policies, config model and validation, loaders</t>
  </si>
  <si>
    <t xml:space="preserve">ReferenceRepository, ReferenceLoader, CachePolicy, ReferenceDataConfig, RowValues, JsonSupport, Jdbc/Rest/CsvReferenceLoader, JSON Schemas</t>
  </si>
  <si>
    <t xml:space="preserve">reference-data-client</t>
  </si>
  <si>
    <t xml:space="preserve">Library for consumer apps (many instances). Per dataset: EMBEDDED or DELEGATE</t>
  </si>
  <si>
    <t xml:space="preserve">ReferenceDataClient, ReferenceDataClientConfiguration, pre-built DAOs (client.datasets)</t>
  </si>
  <si>
    <t xml:space="preserve">reference-data-server</t>
  </si>
  <si>
    <t xml:space="preserve">The delegate: every dataset local (cache + loader), holds the heavy data, serves clients</t>
  </si>
  <si>
    <t xml:space="preserve">ReferenceDataServer, ReferenceDataService, PrebuiltLoaders, IgniteCacheManager (optional)</t>
  </si>
  <si>
    <t xml:space="preserve">reference-data-bridge</t>
  </si>
  <si>
    <t xml:space="preserve">All client &lt;-&gt; server communication, transport-neutral</t>
  </si>
  <si>
    <t xml:space="preserve">BridgeClient, BridgeServer; gRPC: GrpcBridgeClient/Server, RowCodec, proto; WebSocket: WebSocketBridgeClient/Server, KryoCodec</t>
  </si>
  <si>
    <t xml:space="preserve">reference-data-sample-consumer</t>
  </si>
  <si>
    <t xml:space="preserve">Sample Spring (no Boot) app and a no-Spring (Flink-style) example</t>
  </si>
  <si>
    <t xml:space="preserve">AppConfig, PricingService, PlainJavaExample, DeskRepository/DeskLoader (own dataset)</t>
  </si>
  <si>
    <t xml:space="preserve">reference-data-benchmark</t>
  </si>
  <si>
    <t xml:space="preserve">Kryo vs protobuf, gRPC vs WebSocket benchmark</t>
  </si>
  <si>
    <t xml:space="preserve">TransferBenchmark, Codecs, GrpcTransport, WebSocketTransport</t>
  </si>
  <si>
    <t xml:space="preserve">Stack</t>
  </si>
  <si>
    <t xml:space="preserve">Area</t>
  </si>
  <si>
    <t xml:space="preserve">Choice</t>
  </si>
  <si>
    <t xml:space="preserve">Language / build</t>
  </si>
  <si>
    <t xml:space="preserve">Java 17, Gradle multi-project</t>
  </si>
  <si>
    <t xml:space="preserve">Spring</t>
  </si>
  <si>
    <t xml:space="preserve">Spring Framework 7.0.9; server on Spring Boot 4.0.8; consumers may be plain Spring or no Spring</t>
  </si>
  <si>
    <t xml:space="preserve">JSON / YAML</t>
  </si>
  <si>
    <t xml:space="preserve">Jackson 3 (tools.jackson)</t>
  </si>
  <si>
    <t xml:space="preserve">Bridge</t>
  </si>
  <si>
    <t xml:space="preserve">gRPC 1.84 + protobuf; WebSocket + Kryo 5.6 (Spring WebSocket on the server, JDK WebSocket on the client)</t>
  </si>
  <si>
    <t xml:space="preserve">Optional server cache</t>
  </si>
  <si>
    <t xml:space="preserve">Apache Ignite 2.18 via IgniteCacheManager</t>
  </si>
  <si>
    <t xml:space="preserve">Code style / logging</t>
  </si>
  <si>
    <t xml:space="preserve">Lombok; SLF4J (libraries use slf4j-api only)</t>
  </si>
  <si>
    <t xml:space="preserve">Sheets in this workbook</t>
  </si>
  <si>
    <t xml:space="preserve">Sheet</t>
  </si>
  <si>
    <t xml:space="preserve">What it explains</t>
  </si>
  <si>
    <t xml:space="preserve">Architecture</t>
  </si>
  <si>
    <t xml:space="preserve">Components, startup sequences, how a lookup flows</t>
  </si>
  <si>
    <t xml:space="preserve">DAO API</t>
  </si>
  <si>
    <t xml:space="preserve">Repository methods and how to add your own dataset</t>
  </si>
  <si>
    <t xml:space="preserve">Modes &amp; Policies</t>
  </si>
  <si>
    <t xml:space="preserve">EMBEDDED / DELEGATE and CACHE_FIRST / SOURCE_ONLY / CACHE_ONLY</t>
  </si>
  <si>
    <t xml:space="preserve">Policy Matrix</t>
  </si>
  <si>
    <t xml:space="preserve">All 18 combinations for one dataset, verified against the code</t>
  </si>
  <si>
    <t xml:space="preserve">Full Loads</t>
  </si>
  <si>
    <t xml:space="preserve">When loadAll() runs, client and server side</t>
  </si>
  <si>
    <t xml:space="preserve">Client x Server</t>
  </si>
  <si>
    <t xml:space="preserve">What a DELEGATE client miss does for each server policy</t>
  </si>
  <si>
    <t xml:space="preserve">Config Reference</t>
  </si>
  <si>
    <t xml:space="preserve">Every config key, side, default and rule</t>
  </si>
  <si>
    <t xml:space="preserve">Validation</t>
  </si>
  <si>
    <t xml:space="preserve">Every startup and IDE validation error</t>
  </si>
  <si>
    <t xml:space="preserve">gRPC vs WebSocket, error codes, connection lifecycle</t>
  </si>
  <si>
    <t xml:space="preserve">Benchmark</t>
  </si>
  <si>
    <t xml:space="preserve">Kryo vs protobuf, gRPC vs WebSocket measurements and findings</t>
  </si>
  <si>
    <t xml:space="preserve">Logging</t>
  </si>
  <si>
    <t xml:space="preserve">What each log level shows</t>
  </si>
  <si>
    <t xml:space="preserve">Open Items</t>
  </si>
  <si>
    <t xml:space="preserve">Known gaps and recommended next steps</t>
  </si>
  <si>
    <t xml:space="preserve">Architecture and Runtime Flow</t>
  </si>
  <si>
    <t xml:space="preserve">Three tiers: the real source (DB, REST, files), reference-data-server (the delegate, fully warm), and many consumer JVMs with the client library. EMBEDDED datasets skip the server and read the source directly.</t>
  </si>
  <si>
    <t xml:space="preserve">Components</t>
  </si>
  <si>
    <t xml:space="preserve">#</t>
  </si>
  <si>
    <t xml:space="preserve">Component</t>
  </si>
  <si>
    <t xml:space="preserve">Responsibility</t>
  </si>
  <si>
    <t xml:space="preserve">Runs where</t>
  </si>
  <si>
    <t xml:space="preserve">Real source</t>
  </si>
  <si>
    <t xml:space="preserve">Owns the data (Oracle/JDBC, REST API, CSV/files)</t>
  </si>
  <si>
    <t xml:space="preserve">Outside this system</t>
  </si>
  <si>
    <t xml:space="preserve">ReferenceLoader bean</t>
  </si>
  <si>
    <t xml:space="preserve">Reads the source: loadAll, loadByKey, loadByKeys. Rows normalised by RowValues</t>
  </si>
  <si>
    <t xml:space="preserve">Server; client for EMBEDDED datasets</t>
  </si>
  <si>
    <t xml:space="preserve">ReferenceRepository (DAO)</t>
  </si>
  <si>
    <t xml:space="preserve">Applies the cache policy over a Spring Cache and a loader; maps rows to records</t>
  </si>
  <si>
    <t xml:space="preserve">Client and server</t>
  </si>
  <si>
    <t xml:space="preserve">Spring CacheManager</t>
  </si>
  <si>
    <t xml:space="preserve">Holds cached rows per dataset (default in-memory; Ignite optional on the server)</t>
  </si>
  <si>
    <t xml:space="preserve">Serves every configured dataset; NOT_SERVING until its own preload is done</t>
  </si>
  <si>
    <t xml:space="preserve">Central JVM(s)</t>
  </si>
  <si>
    <t xml:space="preserve">Transport between client and server: gRPC or WebSocket/Kryo</t>
  </si>
  <si>
    <t xml:space="preserve">Both sides</t>
  </si>
  <si>
    <t xml:space="preserve">Reads config, connects, binds DAOs, preloads</t>
  </si>
  <si>
    <t xml:space="preserve">Every consumer JVM</t>
  </si>
  <si>
    <t xml:space="preserve">Client startup sequence</t>
  </si>
  <si>
    <t xml:space="preserve">Step</t>
  </si>
  <si>
    <t xml:space="preserve">What happens</t>
  </si>
  <si>
    <t xml:space="preserve">Fails startup when</t>
  </si>
  <si>
    <t xml:space="preserve">Load reference-data-client.json (or .yml); resolve ${NAME:default} placeholders</t>
  </si>
  <si>
    <t xml:space="preserve">File missing, bad JSON, unknown keys, unresolved placeholder, wrong root element</t>
  </si>
  <si>
    <t xml:space="preserve">Validate every rule (see Validation sheet); all problems reported together</t>
  </si>
  <si>
    <t xml:space="preserve">Any rule broken</t>
  </si>
  <si>
    <t xml:space="preserve">If any dataset is DELEGATE: open the bridge connection</t>
  </si>
  <si>
    <t xml:space="preserve">-</t>
  </si>
  <si>
    <t xml:space="preserve">Per dataset: resolve settings (dataset &gt; top level &gt; default), get the Spring cache, pick the loader (bean or bridge)</t>
  </si>
  <si>
    <t xml:space="preserve">Missing or wrong-typed loader / cache manager bean, shared cache</t>
  </si>
  <si>
    <t xml:space="preserve">Wait for the server to report SERVING (ready-timeout)</t>
  </si>
  <si>
    <t xml:space="preserve">Server not ready in time</t>
  </si>
  <si>
    <t xml:space="preserve">ListDatasets: check the server serves every DELEGATE dataset</t>
  </si>
  <si>
    <t xml:space="preserve">A dataset is not served</t>
  </si>
  <si>
    <t xml:space="preserve">Bind each DAO (bean, or pre-built DAO created automatically)</t>
  </si>
  <si>
    <t xml:space="preserve">A configured repository has no bean and isn't pre-built</t>
  </si>
  <si>
    <t xml:space="preserve">Preload datasets with preload=true, in parallel (preload-parallelism); DELEGATE preload = server FindAll</t>
  </si>
  <si>
    <t xml:space="preserve">Load failure</t>
  </si>
  <si>
    <t xml:space="preserve">Server startup sequence</t>
  </si>
  <si>
    <t xml:space="preserve">Notes</t>
  </si>
  <si>
    <t xml:space="preserve">Load reference-data-server.json; decide whether a servlet container is needed (only for bridge.websocket)</t>
  </si>
  <si>
    <t xml:space="preserve">Placeholders from env, system properties, --args</t>
  </si>
  <si>
    <t xml:space="preserve">Validate (server rules)</t>
  </si>
  <si>
    <t xml:space="preserve">mode, delegate, repository are rejected</t>
  </si>
  <si>
    <t xml:space="preserve">Bind one row repository per dataset to its cache + loader bean</t>
  </si>
  <si>
    <t xml:space="preserve">Start bridge endpoints; health = NOT_SERVING</t>
  </si>
  <si>
    <t xml:space="preserve">Lookups get UNAVAILABLE</t>
  </si>
  <si>
    <t xml:space="preserve">Preload datasets with preload=true in parallel</t>
  </si>
  <si>
    <t xml:space="preserve">Any failure stops startup</t>
  </si>
  <si>
    <t xml:space="preserve">Mark SERVING</t>
  </si>
  <si>
    <t xml:space="preserve">Clients waiting in step 5 of their startup continue</t>
  </si>
  <si>
    <t xml:space="preserve">Lookup flow: findAllByKeys on a DELEGATE, CACHE_FIRST dataset</t>
  </si>
  <si>
    <t xml:space="preserve">Where</t>
  </si>
  <si>
    <t xml:space="preserve">Client</t>
  </si>
  <si>
    <t xml:space="preserve">Check the client cache for every key; hits returned immediately</t>
  </si>
  <si>
    <t xml:space="preserve">All misses batched into one loadByKeys</t>
  </si>
  <si>
    <t xml:space="preserve">Misses sent as FindByKeys calls of up to max-keys-per-call keys, each with its deadline</t>
  </si>
  <si>
    <t xml:space="preserve">Server</t>
  </si>
  <si>
    <t xml:space="preserve">Server repository checks its cache; misses go to the loader in one batch (JDBC: IN lists of 900)</t>
  </si>
  <si>
    <t xml:space="preserve">Server caches results (and not-found keys if cache-not-found)</t>
  </si>
  <si>
    <t xml:space="preserve">Client caches results (and not-found keys), maps rows to records, returns them in request order</t>
  </si>
  <si>
    <t xml:space="preserve">DAO API (ReferenceRepository)</t>
  </si>
  <si>
    <t xml:space="preserve">Every dataset is a DAO extending ReferenceRepository&lt;T, K&gt;. T = row type (record/POJO, or Map), K = key type (String, number, date, or a record for composite keys).</t>
  </si>
  <si>
    <t xml:space="preserve">Method</t>
  </si>
  <si>
    <t xml:space="preserve">Returns</t>
  </si>
  <si>
    <t xml:space="preserve">Behaviour</t>
  </si>
  <si>
    <t xml:space="preserve">findByKey(key)</t>
  </si>
  <si>
    <t xml:space="preserve">List&lt;T&gt;</t>
  </si>
  <si>
    <t xml:space="preserve">Rows for one key (a key can have many rows). Empty list if not found, never null</t>
  </si>
  <si>
    <t xml:space="preserve">findAllByKeys(keys)</t>
  </si>
  <si>
    <t xml:space="preserve">Map&lt;K, List&lt;T&gt;&gt;</t>
  </si>
  <si>
    <t xml:space="preserve">In request order; missing keys absent (use getOrDefault). Misses loaded in one batch</t>
  </si>
  <si>
    <t xml:space="preserve">findAll()</t>
  </si>
  <si>
    <t xml:space="preserve">Every row. See Full Loads sheet for when this reaches the source</t>
  </si>
  <si>
    <t xml:space="preserve">existsByKey(key)</t>
  </si>
  <si>
    <t xml:space="preserve">boolean</t>
  </si>
  <si>
    <t xml:space="preserve">findByKey(key) is not empty</t>
  </si>
  <si>
    <t xml:space="preserve">findAllGroupedByKey()</t>
  </si>
  <si>
    <t xml:space="preserve">Map&lt;String, List&lt;T&gt;&gt;</t>
  </si>
  <si>
    <t xml:space="preserve">Every row grouped by encoded key (what the server streams)</t>
  </si>
  <si>
    <t xml:space="preserve">preload()</t>
  </si>
  <si>
    <t xml:space="preserve">int (keys)</t>
  </si>
  <si>
    <t xml:space="preserve">Loads the whole dataset into the cache; no-op after a full load until evictAll()</t>
  </si>
  <si>
    <t xml:space="preserve">evictAll()</t>
  </si>
  <si>
    <t xml:space="preserve">void</t>
  </si>
  <si>
    <t xml:space="preserve">Clears the cache; next findAll reloads (CACHE_ONLY: call preload again)</t>
  </si>
  <si>
    <t xml:space="preserve">Keys and row mapping</t>
  </si>
  <si>
    <t xml:space="preserve">Topic</t>
  </si>
  <si>
    <t xml:space="preserve">Rule</t>
  </si>
  <si>
    <t xml:space="preserve">Example</t>
  </si>
  <si>
    <t xml:space="preserve">Column to field</t>
  </si>
  <si>
    <t xml:space="preserve">snake_case column -&gt; camelCase record component (Jackson); or pass your own row mapper</t>
  </si>
  <si>
    <t xml:space="preserve">calendar_code -&gt; calendarCode</t>
  </si>
  <si>
    <t xml:space="preserve">Composite key</t>
  </si>
  <si>
    <t xml:space="preserve">A record key; components joined with key-separator</t>
  </si>
  <si>
    <t xml:space="preserve">USNY|2026-12-25</t>
  </si>
  <si>
    <t xml:space="preserve">Nested values</t>
  </si>
  <si>
    <t xml:space="preserve">Maps/records, lists/arrays/SQL ARRAY, byte[] carried recursively; same result EMBEDDED or DELEGATE</t>
  </si>
  <si>
    <t xml:space="preserve">Desk(..., Person head, List&lt;String&gt; books)</t>
  </si>
  <si>
    <t xml:space="preserve">Not supported</t>
  </si>
  <si>
    <t xml:space="preserve">Cycles, polymorphic types, arbitrary object graphs (become toString())</t>
  </si>
  <si>
    <t xml:space="preserve">Adding your own dataset (any team)</t>
  </si>
  <si>
    <t xml:space="preserve">What to write</t>
  </si>
  <si>
    <t xml:space="preserve">Record for the row</t>
  </si>
  <si>
    <t xml:space="preserve">record Desk(String deskId, String name, String region)</t>
  </si>
  <si>
    <t xml:space="preserve">DAO extending ReferenceRepository</t>
  </si>
  <si>
    <t xml:space="preserve">class DeskRepository extends ReferenceRepository&lt;Desk, String&gt; { DeskRepository() { super("desk", Desk.class); } }</t>
  </si>
  <si>
    <t xml:space="preserve">Loader implementing ReferenceLoader</t>
  </si>
  <si>
    <t xml:space="preserve">class DeskLoader implements ReferenceLoader { loadAll(); loadByKey(); }</t>
  </si>
  <si>
    <t xml:space="preserve">Declare both as beans (or pass them to init() without Spring)</t>
  </si>
  <si>
    <t xml:space="preserve">@Bean DeskRepository deskRepository(); @Bean ReferenceLoader deskLoader()</t>
  </si>
  <si>
    <t xml:space="preserve">Add the dataset to the config</t>
  </si>
  <si>
    <t xml:space="preserve">"desk": { "repository": "deskRepository", "mode": "EMBEDDED", "loader": "deskLoader" }</t>
  </si>
  <si>
    <t xml:space="preserve">Starting the client</t>
  </si>
  <si>
    <t xml:space="preserve">App type</t>
  </si>
  <si>
    <t xml:space="preserve">How</t>
  </si>
  <si>
    <t xml:space="preserve">Spring (Boot or not)</t>
  </si>
  <si>
    <t xml:space="preserve">@Import(ReferenceDataClientConfiguration.class); inject HolidayRepository etc.</t>
  </si>
  <si>
    <t xml:space="preserve">No Spring (Flink, Spark)</t>
  </si>
  <si>
    <t xml:space="preserve">ReferenceDataClient.init() once per JVM; client.repository(HolidayRepository.class). Own beans: init(null, Map.of("deskRepository", ..., "deskLoader", ...))</t>
  </si>
  <si>
    <t xml:space="preserve">Modes and Cache Policies</t>
  </si>
  <si>
    <t xml:space="preserve">Mode decides where data comes from (client only). Policy decides how the cache is used (client and server). Both are set at the top of the config and can be overridden per dataset.</t>
  </si>
  <si>
    <t xml:space="preserve">Modes (client only)</t>
  </si>
  <si>
    <t xml:space="preserve">Mode</t>
  </si>
  <si>
    <t xml:space="preserve">Loader</t>
  </si>
  <si>
    <t xml:space="preserve">Needs</t>
  </si>
  <si>
    <t xml:space="preserve">EMBEDDED</t>
  </si>
  <si>
    <t xml:space="preserve">A ReferenceLoader bean in this JVM</t>
  </si>
  <si>
    <t xml:space="preserve">Reads the real source directly; no server involved</t>
  </si>
  <si>
    <t xml:space="preserve">loader bean name</t>
  </si>
  <si>
    <t xml:space="preserve">DELEGATE</t>
  </si>
  <si>
    <t xml:space="preserve">The bridge to reference-data-server</t>
  </si>
  <si>
    <t xml:space="preserve">Every load goes to the server, which answers from its cache or the source</t>
  </si>
  <si>
    <t xml:space="preserve">delegate block; server must serve the dataset</t>
  </si>
  <si>
    <t xml:space="preserve">(server)</t>
  </si>
  <si>
    <t xml:space="preserve">Always its own loader beans</t>
  </si>
  <si>
    <t xml:space="preserve">No mode on the server; setting it is a validation error</t>
  </si>
  <si>
    <t xml:space="preserve">loader bean per dataset</t>
  </si>
  <si>
    <t xml:space="preserve">Policies (client and server)</t>
  </si>
  <si>
    <t xml:space="preserve">Policy</t>
  </si>
  <si>
    <t xml:space="preserve">Spring cache</t>
  </si>
  <si>
    <t xml:space="preserve">Read behaviour</t>
  </si>
  <si>
    <t xml:space="preserve">Preload</t>
  </si>
  <si>
    <t xml:space="preserve">CACHE_FIRST</t>
  </si>
  <si>
    <t xml:space="preserve">Named cache from the cache manager</t>
  </si>
  <si>
    <t xml:space="preserve">cache.get(key, loader): miss -&gt; loader -&gt; cached. Keys that don't exist are cached as empty (cache-not-found=true)</t>
  </si>
  <si>
    <t xml:space="preserve">Optional</t>
  </si>
  <si>
    <t xml:space="preserve">SOURCE_ONLY</t>
  </si>
  <si>
    <t xml:space="preserve">Spring NoOpCache (pass-through)</t>
  </si>
  <si>
    <t xml:space="preserve">Every call reaches the loader; same API</t>
  </si>
  <si>
    <t xml:space="preserve">Not allowed (validation error)</t>
  </si>
  <si>
    <t xml:space="preserve">CACHE_ONLY</t>
  </si>
  <si>
    <t xml:space="preserve">Named cache</t>
  </si>
  <si>
    <t xml:space="preserve">Cache only; a miss returns empty, never asks the loader</t>
  </si>
  <si>
    <t xml:space="preserve">Required</t>
  </si>
  <si>
    <t xml:space="preserve">Settings inheritance</t>
  </si>
  <si>
    <t xml:space="preserve">Setting</t>
  </si>
  <si>
    <t xml:space="preserve">Resolution order</t>
  </si>
  <si>
    <t xml:space="preserve">mode, policy, preload, cache-not-found, cache-manager, key-separator</t>
  </si>
  <si>
    <t xml:space="preserve">Dataset value, else top-level value, else default</t>
  </si>
  <si>
    <t xml:space="preserve">cache-name</t>
  </si>
  <si>
    <t xml:space="preserve">Dataset value, else the dataset name</t>
  </si>
  <si>
    <t xml:space="preserve">Policy Matrix: All Combinations for One Dataset</t>
  </si>
  <si>
    <t xml:space="preserve">Every app type x mode x policy x preload, run through the real validation and binding code. Grey = validation error; orange = goes to the source or delegate on every call.</t>
  </si>
  <si>
    <t xml:space="preserve">App Type</t>
  </si>
  <si>
    <t xml:space="preserve">Talk To</t>
  </si>
  <si>
    <t xml:space="preserve">Cache Lookup Config</t>
  </si>
  <si>
    <t xml:space="preserve">Cache Preload Config</t>
  </si>
  <si>
    <t xml:space="preserve">Key Not Found</t>
  </si>
  <si>
    <t xml:space="preserve">Verified</t>
  </si>
  <si>
    <t xml:space="preserve">Embedded</t>
  </si>
  <si>
    <t xml:space="preserve">TRUE</t>
  </si>
  <si>
    <t xml:space="preserve">Real Source (startup + misses)</t>
  </si>
  <si>
    <t xml:space="preserve">Check Cache First, Go To Real Source on Cache Miss</t>
  </si>
  <si>
    <t xml:space="preserve">Load Cache On Startup From Source</t>
  </si>
  <si>
    <t xml:space="preserve">Empty list; the miss is cached (cache-not-found=true), so the source is asked once per key</t>
  </si>
  <si>
    <t xml:space="preserve">From cache</t>
  </si>
  <si>
    <t xml:space="preserve">OK</t>
  </si>
  <si>
    <t xml:space="preserve">Incorrect Config - Validation Error</t>
  </si>
  <si>
    <t xml:space="preserve">Real Source (startup only)</t>
  </si>
  <si>
    <t xml:space="preserve">Check Cache Only, Return Empty List on Cache Miss</t>
  </si>
  <si>
    <t xml:space="preserve">Empty list; source never asked</t>
  </si>
  <si>
    <t xml:space="preserve">CORRECTED: empty list not null</t>
  </si>
  <si>
    <t xml:space="preserve">Delegate</t>
  </si>
  <si>
    <t xml:space="preserve">Delegate (startup + misses)</t>
  </si>
  <si>
    <t xml:space="preserve">Check Cache First, Go To Delegate on Cache Miss</t>
  </si>
  <si>
    <t xml:space="preserve">Load Cache On Startup From Delegate (server FindAll)</t>
  </si>
  <si>
    <t xml:space="preserve">Empty list; the miss is cached (cache-not-found=true), so the delegate is asked once per key</t>
  </si>
  <si>
    <t xml:space="preserve">Delegate (startup only)</t>
  </si>
  <si>
    <t xml:space="preserve">Empty list; delegate never asked</t>
  </si>
  <si>
    <t xml:space="preserve">FALSE</t>
  </si>
  <si>
    <t xml:space="preserve">Real Source (misses)</t>
  </si>
  <si>
    <t xml:space="preserve">Don't Load Cache On Startup From Source</t>
  </si>
  <si>
    <t xml:space="preserve">Empty list; the miss is cached (cache-not-found=true)</t>
  </si>
  <si>
    <t xml:space="preserve">First call loads the whole dataset from source once; then from cache</t>
  </si>
  <si>
    <t xml:space="preserve">Real Source (every call)</t>
  </si>
  <si>
    <t xml:space="preserve">Cache Disabled, Always Go To Real Source</t>
  </si>
  <si>
    <t xml:space="preserve">Cache Disabled, Don't Load Cache On Startup From Source</t>
  </si>
  <si>
    <t xml:space="preserve">Empty list; source asked every time</t>
  </si>
  <si>
    <t xml:space="preserve">Source asked every call</t>
  </si>
  <si>
    <t xml:space="preserve">Delegate (misses)</t>
  </si>
  <si>
    <t xml:space="preserve">Don't Load Cache On Startup From Delegate</t>
  </si>
  <si>
    <t xml:space="preserve">First call loads the whole dataset from the delegate once; then from cache</t>
  </si>
  <si>
    <t xml:space="preserve">Delegate (every call)</t>
  </si>
  <si>
    <t xml:space="preserve">Cache Disabled, Always Go To Delegate</t>
  </si>
  <si>
    <t xml:space="preserve">Cache Disabled, Don't Load Cache On Startup From Delegate</t>
  </si>
  <si>
    <t xml:space="preserve">Empty list; delegate asked every time</t>
  </si>
  <si>
    <t xml:space="preserve">Delegate asked every call</t>
  </si>
  <si>
    <t xml:space="preserve">NA (mode must be absent)</t>
  </si>
  <si>
    <t xml:space="preserve">When the Whole Dataset Is Loaded (loadAll)</t>
  </si>
  <si>
    <t xml:space="preserve">loadAll() = the loader pulling the whole dataset (from the real source, or the server's FindAll through the bridge). findAll() = the repository method your code calls.</t>
  </si>
  <si>
    <t xml:space="preserve">Trigger</t>
  </si>
  <si>
    <t xml:space="preserve">Startup, with preload TRUE</t>
  </si>
  <si>
    <t xml:space="preserve">Once</t>
  </si>
  <si>
    <t xml:space="preserve">Once (required)</t>
  </si>
  <si>
    <t xml:space="preserve">Your code calls findAll()</t>
  </si>
  <si>
    <t xml:space="preserve">Only on the first call, if not preloaded; then from cache</t>
  </si>
  <si>
    <t xml:space="preserve">On every call</t>
  </si>
  <si>
    <t xml:space="preserve">Never: from cache (empty with a warning if preload hasn't finished)</t>
  </si>
  <si>
    <t xml:space="preserve">evictAll(), then findAll()</t>
  </si>
  <si>
    <t xml:space="preserve">Loads the whole dataset once more</t>
  </si>
  <si>
    <t xml:space="preserve">Not applicable</t>
  </si>
  <si>
    <t xml:space="preserve">Never by itself; call preload() again</t>
  </si>
  <si>
    <t xml:space="preserve">preload() called again after a full load</t>
  </si>
  <si>
    <t xml:space="preserve">No-op (reloads only after evictAll())</t>
  </si>
  <si>
    <t xml:space="preserve">Not allowed</t>
  </si>
  <si>
    <t xml:space="preserve">findByKey / findAllByKeys miss</t>
  </si>
  <si>
    <t xml:space="preserve">Never a full load: loadByKey / loadByKeys only</t>
  </si>
  <si>
    <t xml:space="preserve">Never: no loader call at all</t>
  </si>
  <si>
    <t xml:space="preserve">On the server: what a client FindAll causes</t>
  </si>
  <si>
    <t xml:space="preserve">Server policy</t>
  </si>
  <si>
    <t xml:space="preserve">Server behaviour</t>
  </si>
  <si>
    <t xml:space="preserve">Reaches the real source</t>
  </si>
  <si>
    <t xml:space="preserve">CACHE_ONLY, or preload TRUE</t>
  </si>
  <si>
    <t xml:space="preserve">Served from server memory</t>
  </si>
  <si>
    <t xml:space="preserve">Never</t>
  </si>
  <si>
    <t xml:space="preserve">CACHE_FIRST without preload</t>
  </si>
  <si>
    <t xml:space="preserve">First client FindAll loads the dataset once; later ones from memory</t>
  </si>
  <si>
    <t xml:space="preserve">Every client preload or findAll() re-reads the whole dataset from the source; avoid for large datasets</t>
  </si>
  <si>
    <t xml:space="preserve">DELEGATE Client Policy x Server Policy</t>
  </si>
  <si>
    <t xml:space="preserve">For a DELEGATE dataset, what happens behind the client depends on the server's policy for the same dataset.</t>
  </si>
  <si>
    <t xml:space="preserve">Client policy</t>
  </si>
  <si>
    <t xml:space="preserve">On a client cache miss</t>
  </si>
  <si>
    <t xml:space="preserve">Source load</t>
  </si>
  <si>
    <t xml:space="preserve">CACHE_ONLY + preload</t>
  </si>
  <si>
    <t xml:space="preserve">Answered from server memory; source never touched (CDN-style)</t>
  </si>
  <si>
    <t xml:space="preserve">Once a day per server</t>
  </si>
  <si>
    <t xml:space="preserve">Server cache first, then the source if the server misses too</t>
  </si>
  <si>
    <t xml:space="preserve">Server misses only</t>
  </si>
  <si>
    <t xml:space="preserve">Every client miss reaches the source through the server</t>
  </si>
  <si>
    <t xml:space="preserve">Every client miss</t>
  </si>
  <si>
    <t xml:space="preserve">Client preload copies the server's dataset; no runtime calls</t>
  </si>
  <si>
    <t xml:space="preserve">Each client preload makes the server read the whole dataset from the source</t>
  </si>
  <si>
    <t xml:space="preserve">Every client start</t>
  </si>
  <si>
    <t xml:space="preserve">Every client call goes to the server's memory</t>
  </si>
  <si>
    <t xml:space="preserve">Every call: two network hops to the source. Valid but usually not intended</t>
  </si>
  <si>
    <t xml:space="preserve">Every call</t>
  </si>
  <si>
    <t xml:space="preserve">Configuration Reference</t>
  </si>
  <si>
    <t xml:space="preserve">Client file reference-data-client.json (root "reference-data-client"); server file reference-data-server.json (root "reference-data-server"). JSON by default, .yml/.yaml accepted, // comments allowed, ${NAME:default} placeholders. repository, loader and cache-manager are Spring bean names. Location overrides: REFERENCE_DATA_CLIENT_CONFIG / REFERENCE_DATA_SERVER_CONFIG.</t>
  </si>
  <si>
    <t xml:space="preserve">Key</t>
  </si>
  <si>
    <t xml:space="preserve">Side</t>
  </si>
  <si>
    <t xml:space="preserve">Default</t>
  </si>
  <si>
    <t xml:space="preserve">mode</t>
  </si>
  <si>
    <t xml:space="preserve">client (top, dataset)</t>
  </si>
  <si>
    <t xml:space="preserve">EMBEDDED / DELEGATE; rejected on the server</t>
  </si>
  <si>
    <t xml:space="preserve">policy</t>
  </si>
  <si>
    <t xml:space="preserve">both (top, dataset)</t>
  </si>
  <si>
    <t xml:space="preserve">CACHE_ONLY needs preload: true; SOURCE_ONLY + preload rejected</t>
  </si>
  <si>
    <t xml:space="preserve">preload</t>
  </si>
  <si>
    <t xml:space="preserve">false</t>
  </si>
  <si>
    <t xml:space="preserve">cache-not-found</t>
  </si>
  <si>
    <t xml:space="preserve">true</t>
  </si>
  <si>
    <t xml:space="preserve">Cache 'key does not exist' too</t>
  </si>
  <si>
    <t xml:space="preserve">cache-manager</t>
  </si>
  <si>
    <t xml:space="preserve">referenceDataCacheManager</t>
  </si>
  <si>
    <t xml:space="preserve">Bean name; bean must be a CacheManager</t>
  </si>
  <si>
    <t xml:space="preserve">key-separator</t>
  </si>
  <si>
    <t xml:space="preserve">|</t>
  </si>
  <si>
    <t xml:space="preserve">Not empty</t>
  </si>
  <si>
    <t xml:space="preserve">preload-parallelism</t>
  </si>
  <si>
    <t xml:space="preserve">both (top)</t>
  </si>
  <si>
    <t xml:space="preserve">4</t>
  </si>
  <si>
    <t xml:space="preserve">1..1024</t>
  </si>
  <si>
    <t xml:space="preserve">datasets</t>
  </si>
  <si>
    <t xml:space="preserve">both</t>
  </si>
  <si>
    <t xml:space="preserve">At least one; names [A-Za-z0-9][A-Za-z0-9._-]*</t>
  </si>
  <si>
    <t xml:space="preserve">datasets.x.repository</t>
  </si>
  <si>
    <t xml:space="preserve">client</t>
  </si>
  <si>
    <t xml:space="preserve">Required, valid bean name, unique; rejected on the server</t>
  </si>
  <si>
    <t xml:space="preserve">datasets.x.loader</t>
  </si>
  <si>
    <t xml:space="preserve">Server: required. Client: required for EMBEDDED, ignored (warning) for DELEGATE. Bean must be a ReferenceLoader</t>
  </si>
  <si>
    <t xml:space="preserve">datasets.x.cache-name</t>
  </si>
  <si>
    <t xml:space="preserve">dataset name</t>
  </si>
  <si>
    <t xml:space="preserve">Not blank; two datasets may not share a cache</t>
  </si>
  <si>
    <t xml:space="preserve">delegate</t>
  </si>
  <si>
    <t xml:space="preserve">Required if any dataset is DELEGATE; rejected on the server</t>
  </si>
  <si>
    <t xml:space="preserve">delegate.transport</t>
  </si>
  <si>
    <t xml:space="preserve">grpc</t>
  </si>
  <si>
    <t xml:space="preserve">grpc or websocket</t>
  </si>
  <si>
    <t xml:space="preserve">delegate.target</t>
  </si>
  <si>
    <t xml:space="preserve">Required. grpc: dns:///host:9090 (one target). websocket: ws://host:9091/reference-data or wss://, several comma-separated; scheme must match transport</t>
  </si>
  <si>
    <t xml:space="preserve">delegate.deadline</t>
  </si>
  <si>
    <t xml:space="preserve">2s</t>
  </si>
  <si>
    <t xml:space="preserve">Positive duration (500ms, 2s, 10m, 1h, 1d, PT2S); per FindByKeys call</t>
  </si>
  <si>
    <t xml:space="preserve">delegate.find-all-deadline</t>
  </si>
  <si>
    <t xml:space="preserve">10m</t>
  </si>
  <si>
    <t xml:space="preserve">Positive duration; per FindAll stream</t>
  </si>
  <si>
    <t xml:space="preserve">delegate.ready-timeout</t>
  </si>
  <si>
    <t xml:space="preserve">5m</t>
  </si>
  <si>
    <t xml:space="preserve">Positive duration; startup wait for SERVING</t>
  </si>
  <si>
    <t xml:space="preserve">delegate.plaintext</t>
  </si>
  <si>
    <t xml:space="preserve">grpc only (websocket: ws:// vs wss://)</t>
  </si>
  <si>
    <t xml:space="preserve">delegate.max-message-size-mb</t>
  </si>
  <si>
    <t xml:space="preserve">64</t>
  </si>
  <si>
    <t xml:space="preserve">1..2047</t>
  </si>
  <si>
    <t xml:space="preserve">delegate.max-keys-per-call</t>
  </si>
  <si>
    <t xml:space="preserve">5000</t>
  </si>
  <si>
    <t xml:space="preserve">1..1000000; misses split into calls of this size</t>
  </si>
  <si>
    <t xml:space="preserve">delegate.find-all-window</t>
  </si>
  <si>
    <t xml:space="preserve">websocket only; 1..1024 chunks in flight</t>
  </si>
  <si>
    <t xml:space="preserve">bridge</t>
  </si>
  <si>
    <t xml:space="preserve">server</t>
  </si>
  <si>
    <t xml:space="preserve">gRPC on 9090</t>
  </si>
  <si>
    <t xml:space="preserve">grpc and/or websocket endpoint, at least one; rejected on the client</t>
  </si>
  <si>
    <t xml:space="preserve">bridge.grpc.port / bridge.websocket.port</t>
  </si>
  <si>
    <t xml:space="preserve">9090 / 9091</t>
  </si>
  <si>
    <t xml:space="preserve">1..65535; the two must differ</t>
  </si>
  <si>
    <t xml:space="preserve">bridge.*.max-message-size-mb</t>
  </si>
  <si>
    <t xml:space="preserve">bridge.*.find-all-chunk-keys</t>
  </si>
  <si>
    <t xml:space="preserve">500</t>
  </si>
  <si>
    <t xml:space="preserve">1..1000000; also capped near 1 MB per message</t>
  </si>
  <si>
    <t xml:space="preserve">bridge.*.worker-threads</t>
  </si>
  <si>
    <t xml:space="preserve">16</t>
  </si>
  <si>
    <t xml:space="preserve">bridge.websocket.path</t>
  </si>
  <si>
    <t xml:space="preserve">/reference-data</t>
  </si>
  <si>
    <t xml:space="preserve">Starts with /; websocket only</t>
  </si>
  <si>
    <t xml:space="preserve">bridge.websocket.send-buffer-mb</t>
  </si>
  <si>
    <t xml:space="preserve">1..2047; slow client disconnected beyond this</t>
  </si>
  <si>
    <t xml:space="preserve">bridge.websocket.send-timeout</t>
  </si>
  <si>
    <t xml:space="preserve">30s</t>
  </si>
  <si>
    <t xml:space="preserve">Positive duration; slow client disconnected beyond this</t>
  </si>
  <si>
    <t xml:space="preserve">Environment variables used by the samples</t>
  </si>
  <si>
    <t xml:space="preserve">Variable</t>
  </si>
  <si>
    <t xml:space="preserve">Meaning</t>
  </si>
  <si>
    <t xml:space="preserve">REFDATA_MODE</t>
  </si>
  <si>
    <t xml:space="preserve">Top-level mode</t>
  </si>
  <si>
    <t xml:space="preserve">REFDATA_TRANSPORT</t>
  </si>
  <si>
    <t xml:space="preserve">Bridge transport</t>
  </si>
  <si>
    <t xml:space="preserve">grpc / websocket</t>
  </si>
  <si>
    <t xml:space="preserve">REFDATA_SERVER</t>
  </si>
  <si>
    <t xml:space="preserve">Bridge target</t>
  </si>
  <si>
    <t xml:space="preserve">dns:///localhost:9090 or ws://localhost:9091/reference-data</t>
  </si>
  <si>
    <t xml:space="preserve">REFDATA_DEADLINE</t>
  </si>
  <si>
    <t xml:space="preserve">FindByKeys deadline</t>
  </si>
  <si>
    <t xml:space="preserve">REFDATA_GRPC_PORT / REFDATA_WS_PORT</t>
  </si>
  <si>
    <t xml:space="preserve">Bridge ports</t>
  </si>
  <si>
    <t xml:space="preserve">REFDATA_IGNITE_ENABLED</t>
  </si>
  <si>
    <t xml:space="preserve">Enable the Ignite cache manager</t>
  </si>
  <si>
    <t xml:space="preserve">REFDATA_LOG_LEVEL</t>
  </si>
  <si>
    <t xml:space="preserve">Log level for com.referencedata</t>
  </si>
  <si>
    <t xml:space="preserve">DEBUG</t>
  </si>
  <si>
    <t xml:space="preserve">Validation Rules</t>
  </si>
  <si>
    <t xml:space="preserve">Startup validation is authoritative: every problem is reported at once with its path, e.g. reference-data-client.delegate.max-keys-per-call: 0 is outside 1..1000000. The JSON Schemas (schema/reference-data-{client,server}.schema.json) give the same rules in the IDE, except those needing inheritance or beans.</t>
  </si>
  <si>
    <t xml:space="preserve">Error when</t>
  </si>
  <si>
    <t xml:space="preserve">In IDE schema</t>
  </si>
  <si>
    <t xml:space="preserve">File</t>
  </si>
  <si>
    <t xml:space="preserve">Not found, not parseable, or not an object</t>
  </si>
  <si>
    <t xml:space="preserve">Root element missing, other side's root used, or any top-level key other than the root and $schema</t>
  </si>
  <si>
    <t xml:space="preserve">Yes</t>
  </si>
  <si>
    <t xml:space="preserve">Unknown key anywhere, or wrong value type</t>
  </si>
  <si>
    <t xml:space="preserve">Unresolved ${...} placeholder</t>
  </si>
  <si>
    <t xml:space="preserve">No</t>
  </si>
  <si>
    <t xml:space="preserve">Top level</t>
  </si>
  <si>
    <t xml:space="preserve">datasets empty; key-separator empty; preload-parallelism &lt; 1; cache-manager blank</t>
  </si>
  <si>
    <t xml:space="preserve">Dataset</t>
  </si>
  <si>
    <t xml:space="preserve">Dataset name doesn't match [A-Za-z0-9][A-Za-z0-9._-]*</t>
  </si>
  <si>
    <t xml:space="preserve">loader / cache-manager / repository blank or not a valid bean name; cache-name blank; key-separator empty</t>
  </si>
  <si>
    <t xml:space="preserve">CACHE_ONLY without preload: true</t>
  </si>
  <si>
    <t xml:space="preserve">Partly (not inherited values)</t>
  </si>
  <si>
    <t xml:space="preserve">SOURCE_ONLY with preload: true</t>
  </si>
  <si>
    <t xml:space="preserve">mode or delegate set (top or dataset); repository set on a dataset; loader missing</t>
  </si>
  <si>
    <t xml:space="preserve">Server bridge</t>
  </si>
  <si>
    <t xml:space="preserve">bridge present but empty; port outside 1..65535; size/chunk/threads out of range; path without /; path or send-* on grpc; grpc and websocket on the same port</t>
  </si>
  <si>
    <t xml:space="preserve">Yes (except port clash)</t>
  </si>
  <si>
    <t xml:space="preserve">bridge set; repository missing or used by two datasets; EMBEDDED without loader</t>
  </si>
  <si>
    <t xml:space="preserve">DELEGATE with a loader: warning only (loader ignored)</t>
  </si>
  <si>
    <t xml:space="preserve">Client delegate</t>
  </si>
  <si>
    <t xml:space="preserve">delegate missing while a dataset is DELEGATE; target missing; unknown transport</t>
  </si>
  <si>
    <t xml:space="preserve">Partly</t>
  </si>
  <si>
    <t xml:space="preserve">Target scheme doesn't match the transport; several targets with grpc; target without host</t>
  </si>
  <si>
    <t xml:space="preserve">Yes (scheme)</t>
  </si>
  <si>
    <t xml:space="preserve">deadline / find-all-deadline / ready-timeout not a positive duration; size, keys-per-call, window out of range</t>
  </si>
  <si>
    <t xml:space="preserve">Beans (startup)</t>
  </si>
  <si>
    <t xml:space="preserve">No ReferenceLoader / CacheManager bean with that name, or the bean has the wrong type; cache manager has no such cache</t>
  </si>
  <si>
    <t xml:space="preserve">Two datasets share one Spring cache</t>
  </si>
  <si>
    <t xml:space="preserve">Configured repository has no bean and isn't a pre-built DAO; bean belongs to a different dataset</t>
  </si>
  <si>
    <t xml:space="preserve">Server check (startup)</t>
  </si>
  <si>
    <t xml:space="preserve">Server doesn't serve a DELEGATE dataset (ListDatasets); server not SERVING within ready-timeout</t>
  </si>
  <si>
    <t xml:space="preserve">Bridge: Client &lt;-&gt; Server</t>
  </si>
  <si>
    <t xml:space="preserve">Both transports offer the same operations (Health, ListDatasets, FindByKeys, chunked FindAll with flow control), the same row model and the same error codes, so switching is a config change.</t>
  </si>
  <si>
    <t xml:space="preserve">Aspect</t>
  </si>
  <si>
    <t xml:space="preserve">websocket</t>
  </si>
  <si>
    <t xml:space="preserve">Wire</t>
  </si>
  <si>
    <t xml:space="preserve">HTTP/2, protobuf (reference_data_bridge.proto)</t>
  </si>
  <si>
    <t xml:space="preserve">WebSocket binary messages, one Kryo frame each (KryoCodec, versioned, fixed class ids)</t>
  </si>
  <si>
    <t xml:space="preserve">grpc-java (Netty), own port</t>
  </si>
  <si>
    <t xml:space="preserve">Spring WebSocket handler on embedded Tomcat, started only if bridge.websocket is set</t>
  </si>
  <si>
    <t xml:space="preserve">grpc-java channel, round_robin over DNS addresses</t>
  </si>
  <si>
    <t xml:space="preserve">JDK java.net.http.WebSocket (no extra dependency), one connection per URI, round-robin</t>
  </si>
  <si>
    <t xml:space="preserve">FindAll flow control</t>
  </si>
  <si>
    <t xml:space="preserve">gRPC isReady / on-ready</t>
  </si>
  <si>
    <t xml:space="preserve">Credits: find-all-window chunks ahead, one credit per chunk consumed</t>
  </si>
  <si>
    <t xml:space="preserve">Slow / dead client</t>
  </si>
  <si>
    <t xml:space="preserve">HTTP/2 flow control</t>
  </si>
  <si>
    <t xml:space="preserve">send-buffer-mb / send-timeout, then disconnect</t>
  </si>
  <si>
    <t xml:space="preserve">Readiness</t>
  </si>
  <si>
    <t xml:space="preserve">gRPC health service</t>
  </si>
  <si>
    <t xml:space="preserve">Health frame</t>
  </si>
  <si>
    <t xml:space="preserve">Proxies / load balancers</t>
  </si>
  <si>
    <t xml:space="preserve">Needs HTTP/2-aware L7 or L4</t>
  </si>
  <si>
    <t xml:space="preserve">Any HTTP/1.1 proxy that allows WebSocket upgrade</t>
  </si>
  <si>
    <t xml:space="preserve">Security</t>
  </si>
  <si>
    <t xml:space="preserve">TLS when plaintext=false</t>
  </si>
  <si>
    <t xml:space="preserve">wss:// (TLS on the servlet container); browser origins refused; Kryo with explicit serializers (no class names on the wire)</t>
  </si>
  <si>
    <t xml:space="preserve">Error codes (both transports)</t>
  </si>
  <si>
    <t xml:space="preserve">Code</t>
  </si>
  <si>
    <t xml:space="preserve">Client sees</t>
  </si>
  <si>
    <t xml:space="preserve">NOT_FOUND</t>
  </si>
  <si>
    <t xml:space="preserve">Server doesn't serve the dataset</t>
  </si>
  <si>
    <t xml:space="preserve">LoadException (startup check normally prevents it)</t>
  </si>
  <si>
    <t xml:space="preserve">UNAVAILABLE</t>
  </si>
  <si>
    <t xml:space="preserve">Server still preloading, source failed, or connection lost</t>
  </si>
  <si>
    <t xml:space="preserve">LoadException; nothing cached for those keys</t>
  </si>
  <si>
    <t xml:space="preserve">DEADLINE_EXCEEDED</t>
  </si>
  <si>
    <t xml:space="preserve">No answer within deadline / find-all-deadline</t>
  </si>
  <si>
    <t xml:space="preserve">LoadException; server told to cancel</t>
  </si>
  <si>
    <t xml:space="preserve">INTERNAL</t>
  </si>
  <si>
    <t xml:space="preserve">Anything else on the server</t>
  </si>
  <si>
    <t xml:space="preserve">LoadException</t>
  </si>
  <si>
    <t xml:space="preserve">Connection lifecycle</t>
  </si>
  <si>
    <t xml:space="preserve">Opened</t>
  </si>
  <si>
    <t xml:space="preserve">At client startup (readiness check)</t>
  </si>
  <si>
    <t xml:space="preserve">Shared by</t>
  </si>
  <si>
    <t xml:space="preserve">All DELEGATE datasets and threads; one channel, sub-connection per server address</t>
  </si>
  <si>
    <t xml:space="preserve">All DELEGATE datasets and threads; one connection per URI</t>
  </si>
  <si>
    <t xml:space="preserve">Closed</t>
  </si>
  <si>
    <t xml:space="preserve">client.close() (Spring context shutdown or your own call)</t>
  </si>
  <si>
    <t xml:space="preserve">Same</t>
  </si>
  <si>
    <t xml:space="preserve">Idle</t>
  </si>
  <si>
    <t xml:space="preserve">gRPC drops TCP after 30 min idle, reconnects on next call</t>
  </si>
  <si>
    <t xml:space="preserve">Stays open</t>
  </si>
  <si>
    <t xml:space="preserve">Server restart / drop</t>
  </si>
  <si>
    <t xml:space="preserve">Reconnects automatically with backoff</t>
  </si>
  <si>
    <t xml:space="preserve">In-flight calls fail UNAVAILABLE; next call reconnects</t>
  </si>
  <si>
    <t xml:space="preserve">Keepalive</t>
  </si>
  <si>
    <t xml:space="preserve">Not configured (gap)</t>
  </si>
  <si>
    <t xml:space="preserve">Retry</t>
  </si>
  <si>
    <t xml:space="preserve">None: the failed call surfaces; next call reconnects</t>
  </si>
  <si>
    <t xml:space="preserve">Benchmark: Kryo vs Protobuf, gRPC vs WebSocket</t>
  </si>
  <si>
    <t xml:space="preserve">Java-to-Java transfer of Instrument records (13 fields incl. two BigDecimals, a LocalDate, a list, a nested record). Every timing ends with records on the client. Measured in a 2-vCPU sandbox with client and server on the same machine (Java 21, gRPC 1.76/Netty 4.2, protobuf 4.35.1, Kryo 5.6.2); compare rows, not absolute values. '-rows' codecs = today's bridge (generic rows + Jackson mapping). Re-run: ./gradlew :reference-data-benchmark:run</t>
  </si>
  <si>
    <t xml:space="preserve">Serialization only (no network), per object</t>
  </si>
  <si>
    <t xml:space="preserve">Codec</t>
  </si>
  <si>
    <t xml:space="preserve">Batch</t>
  </si>
  <si>
    <t xml:space="preserve">Bytes/obj</t>
  </si>
  <si>
    <t xml:space="preserve">Encode ns/obj</t>
  </si>
  <si>
    <t xml:space="preserve">Decode ns/obj</t>
  </si>
  <si>
    <t xml:space="preserve">Encode+decode ns/obj</t>
  </si>
  <si>
    <t xml:space="preserve">vs protobuf typed</t>
  </si>
  <si>
    <t xml:space="preserve">protobuf</t>
  </si>
  <si>
    <t xml:space="preserve">kryo</t>
  </si>
  <si>
    <t xml:space="preserve">protobuf-rows</t>
  </si>
  <si>
    <t xml:space="preserve">kryo-rows</t>
  </si>
  <si>
    <t xml:space="preserve">vs protobuf typed = encode+decode time relative to typed protobuf at the same batch size (1.00x = same; higher = slower).</t>
  </si>
  <si>
    <t xml:space="preserve">Latency: lookup of 10 objects, 1 thread (microseconds)</t>
  </si>
  <si>
    <t xml:space="preserve">Transport + codec</t>
  </si>
  <si>
    <t xml:space="preserve">Mean</t>
  </si>
  <si>
    <t xml:space="preserve">p50</t>
  </si>
  <si>
    <t xml:space="preserve">p99</t>
  </si>
  <si>
    <t xml:space="preserve">gRPC + protobuf</t>
  </si>
  <si>
    <t xml:space="preserve">gRPC + kryo</t>
  </si>
  <si>
    <t xml:space="preserve">gRPC + protobuf-rows</t>
  </si>
  <si>
    <t xml:space="preserve">gRPC + kryo-rows</t>
  </si>
  <si>
    <t xml:space="preserve">WebSocket + protobuf</t>
  </si>
  <si>
    <t xml:space="preserve">WebSocket + kryo</t>
  </si>
  <si>
    <t xml:space="preserve">WebSocket + protobuf-rows</t>
  </si>
  <si>
    <t xml:space="preserve">WebSocket + kryo-rows</t>
  </si>
  <si>
    <t xml:space="preserve">Throughput: lookups of 100 objects, 4 client threads</t>
  </si>
  <si>
    <t xml:space="preserve">Calls/s</t>
  </si>
  <si>
    <t xml:space="preserve">Objects/s</t>
  </si>
  <si>
    <t xml:space="preserve">vs gRPC + protobuf</t>
  </si>
  <si>
    <t xml:space="preserve">Objects/s = calls/s x 100 objects per call. vs gRPC + protobuf: higher is better.</t>
  </si>
  <si>
    <t xml:space="preserve">Bulk preload: 200,000 objects streamed in messages of 500</t>
  </si>
  <si>
    <t xml:space="preserve">ms</t>
  </si>
  <si>
    <t xml:space="preserve">MB total</t>
  </si>
  <si>
    <t xml:space="preserve">MB/s on the wire</t>
  </si>
  <si>
    <t xml:space="preserve">Objects/s and MB/s computed from the measured ms. vs gRPC + protobuf = speed-up (higher is better).</t>
  </si>
  <si>
    <t xml:space="preserve">Findings</t>
  </si>
  <si>
    <t xml:space="preserve">Finding</t>
  </si>
  <si>
    <t xml:space="preserve">Typed objects vs generic rows is the biggest difference: rows + Jackson mapping cost 2.5-7x more CPU and are 2-3x larger on the wire.</t>
  </si>
  <si>
    <t xml:space="preserve">Kryo vs protobuf (typed): similar total CPU; Kryo ~20% smaller, ~25% faster decode; end to end ~30-60% faster bulk and higher throughput.</t>
  </si>
  <si>
    <t xml:space="preserve">WebSocket vs gRPC: ~100 microseconds lower per-call latency and 20-55% higher throughput; bulk about the same.</t>
  </si>
  <si>
    <t xml:space="preserve">Fastest bulk: gRPC carrying Kryo bytes, keeping gRPC's health checks, load balancing, flow control and keepalive.</t>
  </si>
  <si>
    <t xml:space="preserve">Kryo's risk is version skew: default serializers break when record fields change and consumer apps upgrade on different days (use CompatibleFieldSerializer or versioned schemas).</t>
  </si>
  <si>
    <t xml:space="preserve">Logging (SLF4J)</t>
  </si>
  <si>
    <t xml:space="preserve">Logger names are the classes (com.referencedata.*). Server: logging.level.com.referencedata (env REFDATA_LOG_LEVEL). Sample consumer: simplelogger.properties.</t>
  </si>
  <si>
    <t xml:space="preserve">Level</t>
  </si>
  <si>
    <t xml:space="preserve">What it shows</t>
  </si>
  <si>
    <t xml:space="preserve">INFO</t>
  </si>
  <si>
    <t xml:space="preserve">Config file loaded; each dataset's effective settings; bindings; preload per dataset (keys, ms); bridge connect / SERVING; FindAll streams (keys, chunks, KB, ms)</t>
  </si>
  <si>
    <t xml:space="preserve">Every source or bridge load: keys requested, hits, misses, found, not found, latency; REST / JDBC / CSV call timings</t>
  </si>
  <si>
    <t xml:space="preserve">TRACE</t>
  </si>
  <si>
    <t xml:space="preserve">Every cache hit; FindAll chunks; flow-control pauses</t>
  </si>
  <si>
    <t xml:space="preserve">WARN / ERROR</t>
  </si>
  <si>
    <t xml:space="preserve">Load failures (dataset, operation, source, ms); cancelled streams; invalid configuration (full list)</t>
  </si>
  <si>
    <t xml:space="preserve">Open Items and Recommendations</t>
  </si>
  <si>
    <t xml:space="preserve">Not implemented yet unless marked otherwise.</t>
  </si>
  <si>
    <t xml:space="preserve">Item</t>
  </si>
  <si>
    <t xml:space="preserve">Detail</t>
  </si>
  <si>
    <t xml:space="preserve">Priority</t>
  </si>
  <si>
    <t xml:space="preserve">Missing key after a full load (CDN design)</t>
  </si>
  <si>
    <t xml:space="preserve">After loadAll, CACHE_FIRST still asks the source once for a key that can't exist. Change: once fully loaded, a miss returns empty.</t>
  </si>
  <si>
    <t xml:space="preserve">High</t>
  </si>
  <si>
    <t xml:space="preserve">Neither transport sends pings; firewalls/LBs may silently drop idle connections and the next lookup waits out its deadline. Add delegate.keepalive (gRPC keepAliveTime; WebSocket ping).</t>
  </si>
  <si>
    <t xml:space="preserve">Retry once on UNAVAILABLE</t>
  </si>
  <si>
    <t xml:space="preserve">Lookups are read-only, so one retry on a fresh connection is safe.</t>
  </si>
  <si>
    <t xml:space="preserve">Medium</t>
  </si>
  <si>
    <t xml:space="preserve">Typed transfer for pre-built datasets</t>
  </si>
  <si>
    <t xml:space="preserve">Shared model jar; server serves records instead of rows (2.5-7x less CPU). Kryo over gRPC with compatible serializers.</t>
  </si>
  <si>
    <t xml:space="preserve">CDN server mode</t>
  </si>
  <si>
    <t xml:space="preserve">Server CACHE_ONLY + preload by default; pre-built answers per dataset; manifest (version, counts, size) in ListDatasets; gzip for FindAll.</t>
  </si>
  <si>
    <t xml:space="preserve">One transport</t>
  </si>
  <si>
    <t xml:space="preserve">Keep gRPC; WebSocket/Kryo transport adds a custom protocol to maintain for ~100 microseconds per call.</t>
  </si>
  <si>
    <t xml:space="preserve">Decision</t>
  </si>
  <si>
    <t xml:space="preserve">Source load shield</t>
  </si>
  <si>
    <t xml:space="preserve">With N servers each loads from the source; one loader + copy/snapshot if the source can't take N morning loads.</t>
  </si>
  <si>
    <t xml:space="preserve">Later</t>
  </si>
  <si>
    <t xml:space="preserve">Verify on real hardware</t>
  </si>
  <si>
    <t xml:space="preserve">Run the benchmark and full Gradle build on your machines (sandbox could not reach Maven Central).</t>
  </si>
</sst>
</file>

<file path=xl/styles.xml><?xml version="1.0" encoding="utf-8"?>
<styleSheet xmlns="http://schemas.openxmlformats.org/spreadsheetml/2006/main">
  <numFmts count="4">
    <numFmt numFmtId="164" formatCode="General"/>
    <numFmt numFmtId="165" formatCode="#,##0"/>
    <numFmt numFmtId="166" formatCode="0.00\x"/>
    <numFmt numFmtId="167"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10"/>
      <color rgb="FF404040"/>
      <name val="Arial"/>
      <family val="0"/>
      <charset val="1"/>
    </font>
    <font>
      <b val="true"/>
      <sz val="11"/>
      <color rgb="FF1F4E79"/>
      <name val="Arial"/>
      <family val="0"/>
      <charset val="1"/>
    </font>
    <font>
      <b val="true"/>
      <sz val="10"/>
      <color rgb="FFFFFFFF"/>
      <name val="Arial"/>
      <family val="0"/>
      <charset val="1"/>
    </font>
    <font>
      <b val="true"/>
      <sz val="10"/>
      <name val="Arial"/>
      <family val="0"/>
      <charset val="1"/>
    </font>
    <font>
      <sz val="10"/>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EDEDED"/>
        <bgColor rgb="FFE2EFDA"/>
      </patternFill>
    </fill>
    <fill>
      <patternFill patternType="solid">
        <fgColor rgb="FFFCE4D6"/>
        <bgColor rgb="FFEDEDED"/>
      </patternFill>
    </fill>
    <fill>
      <patternFill patternType="solid">
        <fgColor rgb="FFE2EFDA"/>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50"/>
    <col collapsed="false" customWidth="true" hidden="false" outlineLevel="0" max="6" min="4" style="0" width="30"/>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row>
    <row r="5" customFormat="false" ht="15" hidden="false" customHeight="false" outlineLevel="0" collapsed="false">
      <c r="A5" s="3" t="s">
        <v>2</v>
      </c>
    </row>
    <row r="6" customFormat="false" ht="15" hidden="false" customHeight="false" outlineLevel="0" collapsed="false">
      <c r="A6" s="4" t="s">
        <v>3</v>
      </c>
      <c r="B6" s="4" t="s">
        <v>4</v>
      </c>
      <c r="C6" s="4" t="s">
        <v>5</v>
      </c>
    </row>
    <row r="7" customFormat="false" ht="35.05" hidden="false" customHeight="false" outlineLevel="0" collapsed="false">
      <c r="A7" s="5" t="s">
        <v>6</v>
      </c>
      <c r="B7" s="6" t="s">
        <v>7</v>
      </c>
      <c r="C7" s="6" t="s">
        <v>8</v>
      </c>
    </row>
    <row r="8" customFormat="false" ht="23.85" hidden="false" customHeight="false" outlineLevel="0" collapsed="false">
      <c r="A8" s="5" t="s">
        <v>9</v>
      </c>
      <c r="B8" s="6" t="s">
        <v>10</v>
      </c>
      <c r="C8" s="6" t="s">
        <v>11</v>
      </c>
    </row>
    <row r="9" customFormat="false" ht="23.85" hidden="false" customHeight="false" outlineLevel="0" collapsed="false">
      <c r="A9" s="5" t="s">
        <v>12</v>
      </c>
      <c r="B9" s="6" t="s">
        <v>13</v>
      </c>
      <c r="C9" s="6" t="s">
        <v>14</v>
      </c>
    </row>
    <row r="10" customFormat="false" ht="35.05" hidden="false" customHeight="false" outlineLevel="0" collapsed="false">
      <c r="A10" s="5" t="s">
        <v>15</v>
      </c>
      <c r="B10" s="6" t="s">
        <v>16</v>
      </c>
      <c r="C10" s="6" t="s">
        <v>17</v>
      </c>
    </row>
    <row r="11" customFormat="false" ht="23.85" hidden="false" customHeight="false" outlineLevel="0" collapsed="false">
      <c r="A11" s="5" t="s">
        <v>18</v>
      </c>
      <c r="B11" s="6" t="s">
        <v>19</v>
      </c>
      <c r="C11" s="6" t="s">
        <v>20</v>
      </c>
    </row>
    <row r="12" customFormat="false" ht="23.85" hidden="false" customHeight="false" outlineLevel="0" collapsed="false">
      <c r="A12" s="5" t="s">
        <v>21</v>
      </c>
      <c r="B12" s="6" t="s">
        <v>22</v>
      </c>
      <c r="C12" s="6" t="s">
        <v>23</v>
      </c>
    </row>
    <row r="14" customFormat="false" ht="15" hidden="false" customHeight="false" outlineLevel="0" collapsed="false">
      <c r="A14" s="3" t="s">
        <v>24</v>
      </c>
    </row>
    <row r="15" customFormat="false" ht="15" hidden="false" customHeight="false" outlineLevel="0" collapsed="false">
      <c r="A15" s="4" t="s">
        <v>25</v>
      </c>
      <c r="B15" s="4" t="s">
        <v>26</v>
      </c>
    </row>
    <row r="16" customFormat="false" ht="15" hidden="false" customHeight="false" outlineLevel="0" collapsed="false">
      <c r="A16" s="5" t="s">
        <v>27</v>
      </c>
      <c r="B16" s="6" t="s">
        <v>28</v>
      </c>
    </row>
    <row r="17" customFormat="false" ht="23.85" hidden="false" customHeight="false" outlineLevel="0" collapsed="false">
      <c r="A17" s="5" t="s">
        <v>29</v>
      </c>
      <c r="B17" s="6" t="s">
        <v>30</v>
      </c>
    </row>
    <row r="18" customFormat="false" ht="15" hidden="false" customHeight="false" outlineLevel="0" collapsed="false">
      <c r="A18" s="5" t="s">
        <v>31</v>
      </c>
      <c r="B18" s="6" t="s">
        <v>32</v>
      </c>
    </row>
    <row r="19" customFormat="false" ht="23.85" hidden="false" customHeight="false" outlineLevel="0" collapsed="false">
      <c r="A19" s="5" t="s">
        <v>33</v>
      </c>
      <c r="B19" s="6" t="s">
        <v>34</v>
      </c>
    </row>
    <row r="20" customFormat="false" ht="15" hidden="false" customHeight="false" outlineLevel="0" collapsed="false">
      <c r="A20" s="5" t="s">
        <v>35</v>
      </c>
      <c r="B20" s="6" t="s">
        <v>36</v>
      </c>
    </row>
    <row r="21" customFormat="false" ht="15" hidden="false" customHeight="false" outlineLevel="0" collapsed="false">
      <c r="A21" s="5" t="s">
        <v>37</v>
      </c>
      <c r="B21" s="6" t="s">
        <v>38</v>
      </c>
    </row>
    <row r="23" customFormat="false" ht="15" hidden="false" customHeight="false" outlineLevel="0" collapsed="false">
      <c r="A23" s="3" t="s">
        <v>39</v>
      </c>
    </row>
    <row r="24" customFormat="false" ht="15" hidden="false" customHeight="false" outlineLevel="0" collapsed="false">
      <c r="A24" s="4" t="s">
        <v>40</v>
      </c>
      <c r="B24" s="4" t="s">
        <v>41</v>
      </c>
    </row>
    <row r="25" customFormat="false" ht="15" hidden="false" customHeight="false" outlineLevel="0" collapsed="false">
      <c r="A25" s="5" t="s">
        <v>42</v>
      </c>
      <c r="B25" s="6" t="s">
        <v>43</v>
      </c>
    </row>
    <row r="26" customFormat="false" ht="15" hidden="false" customHeight="false" outlineLevel="0" collapsed="false">
      <c r="A26" s="5" t="s">
        <v>44</v>
      </c>
      <c r="B26" s="6" t="s">
        <v>45</v>
      </c>
    </row>
    <row r="27" customFormat="false" ht="23.85" hidden="false" customHeight="false" outlineLevel="0" collapsed="false">
      <c r="A27" s="5" t="s">
        <v>46</v>
      </c>
      <c r="B27" s="6" t="s">
        <v>47</v>
      </c>
    </row>
    <row r="28" customFormat="false" ht="15" hidden="false" customHeight="false" outlineLevel="0" collapsed="false">
      <c r="A28" s="5" t="s">
        <v>48</v>
      </c>
      <c r="B28" s="6" t="s">
        <v>49</v>
      </c>
    </row>
    <row r="29" customFormat="false" ht="15" hidden="false" customHeight="false" outlineLevel="0" collapsed="false">
      <c r="A29" s="5" t="s">
        <v>50</v>
      </c>
      <c r="B29" s="6" t="s">
        <v>51</v>
      </c>
    </row>
    <row r="30" customFormat="false" ht="15" hidden="false" customHeight="false" outlineLevel="0" collapsed="false">
      <c r="A30" s="5" t="s">
        <v>52</v>
      </c>
      <c r="B30" s="6" t="s">
        <v>53</v>
      </c>
    </row>
    <row r="31" customFormat="false" ht="15" hidden="false" customHeight="false" outlineLevel="0" collapsed="false">
      <c r="A31" s="5" t="s">
        <v>54</v>
      </c>
      <c r="B31" s="6" t="s">
        <v>55</v>
      </c>
    </row>
    <row r="32" customFormat="false" ht="15" hidden="false" customHeight="false" outlineLevel="0" collapsed="false">
      <c r="A32" s="5" t="s">
        <v>56</v>
      </c>
      <c r="B32" s="6" t="s">
        <v>57</v>
      </c>
    </row>
    <row r="33" customFormat="false" ht="15" hidden="false" customHeight="false" outlineLevel="0" collapsed="false">
      <c r="A33" s="5" t="s">
        <v>33</v>
      </c>
      <c r="B33" s="6" t="s">
        <v>58</v>
      </c>
    </row>
    <row r="34" customFormat="false" ht="15" hidden="false" customHeight="false" outlineLevel="0" collapsed="false">
      <c r="A34" s="5" t="s">
        <v>59</v>
      </c>
      <c r="B34" s="6" t="s">
        <v>60</v>
      </c>
    </row>
    <row r="35" customFormat="false" ht="15" hidden="false" customHeight="false" outlineLevel="0" collapsed="false">
      <c r="A35" s="5" t="s">
        <v>61</v>
      </c>
      <c r="B35" s="6" t="s">
        <v>62</v>
      </c>
    </row>
    <row r="36" customFormat="false" ht="15" hidden="false" customHeight="false" outlineLevel="0" collapsed="false">
      <c r="A36" s="5" t="s">
        <v>63</v>
      </c>
      <c r="B36" s="6" t="s">
        <v>64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75"/>
    <col collapsed="false" customWidth="true" hidden="false" outlineLevel="0" max="4" min="4" style="0" width="40"/>
  </cols>
  <sheetData>
    <row r="1" customFormat="false" ht="17.35" hidden="false" customHeight="false" outlineLevel="0" collapsed="false">
      <c r="A1" s="1" t="s">
        <v>65</v>
      </c>
    </row>
    <row r="2" customFormat="false" ht="27.75" hidden="false" customHeight="true" outlineLevel="0" collapsed="false">
      <c r="A2" s="2" t="s">
        <v>66</v>
      </c>
      <c r="B2" s="2"/>
      <c r="C2" s="2"/>
      <c r="D2" s="2"/>
      <c r="E2" s="2"/>
      <c r="F2" s="2"/>
    </row>
    <row r="5" customFormat="false" ht="15" hidden="false" customHeight="false" outlineLevel="0" collapsed="false">
      <c r="A5" s="3" t="s">
        <v>67</v>
      </c>
    </row>
    <row r="6" customFormat="false" ht="15" hidden="false" customHeight="false" outlineLevel="0" collapsed="false">
      <c r="A6" s="4" t="s">
        <v>68</v>
      </c>
      <c r="B6" s="4" t="s">
        <v>69</v>
      </c>
      <c r="C6" s="4" t="s">
        <v>70</v>
      </c>
      <c r="D6" s="4" t="s">
        <v>71</v>
      </c>
    </row>
    <row r="7" customFormat="false" ht="15" hidden="false" customHeight="false" outlineLevel="0" collapsed="false">
      <c r="A7" s="5" t="n">
        <v>1</v>
      </c>
      <c r="B7" s="6" t="s">
        <v>72</v>
      </c>
      <c r="C7" s="6" t="s">
        <v>73</v>
      </c>
      <c r="D7" s="6" t="s">
        <v>74</v>
      </c>
    </row>
    <row r="8" customFormat="false" ht="15" hidden="false" customHeight="false" outlineLevel="0" collapsed="false">
      <c r="A8" s="5" t="n">
        <v>2</v>
      </c>
      <c r="B8" s="6" t="s">
        <v>75</v>
      </c>
      <c r="C8" s="6" t="s">
        <v>76</v>
      </c>
      <c r="D8" s="6" t="s">
        <v>77</v>
      </c>
    </row>
    <row r="9" customFormat="false" ht="15" hidden="false" customHeight="false" outlineLevel="0" collapsed="false">
      <c r="A9" s="5" t="n">
        <v>3</v>
      </c>
      <c r="B9" s="6" t="s">
        <v>78</v>
      </c>
      <c r="C9" s="6" t="s">
        <v>79</v>
      </c>
      <c r="D9" s="6" t="s">
        <v>80</v>
      </c>
    </row>
    <row r="10" customFormat="false" ht="15" hidden="false" customHeight="false" outlineLevel="0" collapsed="false">
      <c r="A10" s="5" t="n">
        <v>4</v>
      </c>
      <c r="B10" s="6" t="s">
        <v>81</v>
      </c>
      <c r="C10" s="6" t="s">
        <v>82</v>
      </c>
      <c r="D10" s="6" t="s">
        <v>80</v>
      </c>
    </row>
    <row r="11" customFormat="false" ht="15" hidden="false" customHeight="false" outlineLevel="0" collapsed="false">
      <c r="A11" s="5" t="n">
        <v>5</v>
      </c>
      <c r="B11" s="6" t="s">
        <v>12</v>
      </c>
      <c r="C11" s="6" t="s">
        <v>83</v>
      </c>
      <c r="D11" s="6" t="s">
        <v>84</v>
      </c>
    </row>
    <row r="12" customFormat="false" ht="15" hidden="false" customHeight="false" outlineLevel="0" collapsed="false">
      <c r="A12" s="5" t="n">
        <v>6</v>
      </c>
      <c r="B12" s="6" t="s">
        <v>33</v>
      </c>
      <c r="C12" s="6" t="s">
        <v>85</v>
      </c>
      <c r="D12" s="6" t="s">
        <v>86</v>
      </c>
    </row>
    <row r="13" customFormat="false" ht="15" hidden="false" customHeight="false" outlineLevel="0" collapsed="false">
      <c r="A13" s="5" t="n">
        <v>7</v>
      </c>
      <c r="B13" s="6" t="s">
        <v>9</v>
      </c>
      <c r="C13" s="6" t="s">
        <v>87</v>
      </c>
      <c r="D13" s="6" t="s">
        <v>88</v>
      </c>
    </row>
    <row r="15" customFormat="false" ht="15" hidden="false" customHeight="false" outlineLevel="0" collapsed="false">
      <c r="A15" s="3" t="s">
        <v>89</v>
      </c>
    </row>
    <row r="16" customFormat="false" ht="15" hidden="false" customHeight="false" outlineLevel="0" collapsed="false">
      <c r="A16" s="4" t="s">
        <v>90</v>
      </c>
      <c r="B16" s="4" t="s">
        <v>91</v>
      </c>
      <c r="C16" s="4" t="s">
        <v>92</v>
      </c>
    </row>
    <row r="17" customFormat="false" ht="35.05" hidden="false" customHeight="false" outlineLevel="0" collapsed="false">
      <c r="A17" s="5" t="n">
        <v>1</v>
      </c>
      <c r="B17" s="6" t="s">
        <v>93</v>
      </c>
      <c r="C17" s="6" t="s">
        <v>94</v>
      </c>
    </row>
    <row r="18" customFormat="false" ht="23.85" hidden="false" customHeight="false" outlineLevel="0" collapsed="false">
      <c r="A18" s="5" t="n">
        <v>2</v>
      </c>
      <c r="B18" s="6" t="s">
        <v>95</v>
      </c>
      <c r="C18" s="6" t="s">
        <v>96</v>
      </c>
    </row>
    <row r="19" customFormat="false" ht="23.85" hidden="false" customHeight="false" outlineLevel="0" collapsed="false">
      <c r="A19" s="5" t="n">
        <v>3</v>
      </c>
      <c r="B19" s="6" t="s">
        <v>97</v>
      </c>
      <c r="C19" s="6" t="s">
        <v>98</v>
      </c>
    </row>
    <row r="20" customFormat="false" ht="35.05" hidden="false" customHeight="false" outlineLevel="0" collapsed="false">
      <c r="A20" s="5" t="n">
        <v>4</v>
      </c>
      <c r="B20" s="6" t="s">
        <v>99</v>
      </c>
      <c r="C20" s="6" t="s">
        <v>100</v>
      </c>
    </row>
    <row r="21" customFormat="false" ht="23.85" hidden="false" customHeight="false" outlineLevel="0" collapsed="false">
      <c r="A21" s="5" t="n">
        <v>5</v>
      </c>
      <c r="B21" s="6" t="s">
        <v>101</v>
      </c>
      <c r="C21" s="6" t="s">
        <v>102</v>
      </c>
    </row>
    <row r="22" customFormat="false" ht="23.85" hidden="false" customHeight="false" outlineLevel="0" collapsed="false">
      <c r="A22" s="5" t="n">
        <v>6</v>
      </c>
      <c r="B22" s="6" t="s">
        <v>103</v>
      </c>
      <c r="C22" s="6" t="s">
        <v>104</v>
      </c>
    </row>
    <row r="23" customFormat="false" ht="23.85" hidden="false" customHeight="false" outlineLevel="0" collapsed="false">
      <c r="A23" s="5" t="n">
        <v>7</v>
      </c>
      <c r="B23" s="6" t="s">
        <v>105</v>
      </c>
      <c r="C23" s="6" t="s">
        <v>106</v>
      </c>
    </row>
    <row r="24" customFormat="false" ht="35.05" hidden="false" customHeight="false" outlineLevel="0" collapsed="false">
      <c r="A24" s="5" t="n">
        <v>8</v>
      </c>
      <c r="B24" s="6" t="s">
        <v>107</v>
      </c>
      <c r="C24" s="6" t="s">
        <v>108</v>
      </c>
    </row>
    <row r="26" customFormat="false" ht="15" hidden="false" customHeight="false" outlineLevel="0" collapsed="false">
      <c r="A26" s="3" t="s">
        <v>109</v>
      </c>
    </row>
    <row r="27" customFormat="false" ht="15" hidden="false" customHeight="false" outlineLevel="0" collapsed="false">
      <c r="A27" s="4" t="s">
        <v>90</v>
      </c>
      <c r="B27" s="4" t="s">
        <v>91</v>
      </c>
      <c r="C27" s="4" t="s">
        <v>110</v>
      </c>
    </row>
    <row r="28" customFormat="false" ht="35.05" hidden="false" customHeight="false" outlineLevel="0" collapsed="false">
      <c r="A28" s="5" t="n">
        <v>1</v>
      </c>
      <c r="B28" s="6" t="s">
        <v>111</v>
      </c>
      <c r="C28" s="6" t="s">
        <v>112</v>
      </c>
    </row>
    <row r="29" customFormat="false" ht="15" hidden="false" customHeight="false" outlineLevel="0" collapsed="false">
      <c r="A29" s="5" t="n">
        <v>2</v>
      </c>
      <c r="B29" s="6" t="s">
        <v>113</v>
      </c>
      <c r="C29" s="6" t="s">
        <v>114</v>
      </c>
    </row>
    <row r="30" customFormat="false" ht="23.85" hidden="false" customHeight="false" outlineLevel="0" collapsed="false">
      <c r="A30" s="5" t="n">
        <v>3</v>
      </c>
      <c r="B30" s="6" t="s">
        <v>115</v>
      </c>
      <c r="C30" s="6" t="s">
        <v>98</v>
      </c>
    </row>
    <row r="31" customFormat="false" ht="23.85" hidden="false" customHeight="false" outlineLevel="0" collapsed="false">
      <c r="A31" s="5" t="n">
        <v>4</v>
      </c>
      <c r="B31" s="6" t="s">
        <v>116</v>
      </c>
      <c r="C31" s="6" t="s">
        <v>117</v>
      </c>
    </row>
    <row r="32" customFormat="false" ht="23.85" hidden="false" customHeight="false" outlineLevel="0" collapsed="false">
      <c r="A32" s="5" t="n">
        <v>5</v>
      </c>
      <c r="B32" s="6" t="s">
        <v>118</v>
      </c>
      <c r="C32" s="6" t="s">
        <v>119</v>
      </c>
    </row>
    <row r="33" customFormat="false" ht="15" hidden="false" customHeight="false" outlineLevel="0" collapsed="false">
      <c r="A33" s="5" t="n">
        <v>6</v>
      </c>
      <c r="B33" s="6" t="s">
        <v>120</v>
      </c>
      <c r="C33" s="6" t="s">
        <v>121</v>
      </c>
    </row>
    <row r="35" customFormat="false" ht="15" hidden="false" customHeight="false" outlineLevel="0" collapsed="false">
      <c r="A35" s="3" t="s">
        <v>122</v>
      </c>
    </row>
    <row r="36" customFormat="false" ht="15" hidden="false" customHeight="false" outlineLevel="0" collapsed="false">
      <c r="A36" s="4" t="s">
        <v>90</v>
      </c>
      <c r="B36" s="4" t="s">
        <v>123</v>
      </c>
      <c r="C36" s="4" t="s">
        <v>91</v>
      </c>
    </row>
    <row r="37" customFormat="false" ht="15" hidden="false" customHeight="false" outlineLevel="0" collapsed="false">
      <c r="A37" s="5" t="n">
        <v>1</v>
      </c>
      <c r="B37" s="6" t="s">
        <v>124</v>
      </c>
      <c r="C37" s="6" t="s">
        <v>125</v>
      </c>
    </row>
    <row r="38" customFormat="false" ht="15" hidden="false" customHeight="false" outlineLevel="0" collapsed="false">
      <c r="A38" s="5" t="n">
        <v>2</v>
      </c>
      <c r="B38" s="6" t="s">
        <v>124</v>
      </c>
      <c r="C38" s="6" t="s">
        <v>126</v>
      </c>
    </row>
    <row r="39" customFormat="false" ht="15" hidden="false" customHeight="false" outlineLevel="0" collapsed="false">
      <c r="A39" s="5" t="n">
        <v>3</v>
      </c>
      <c r="B39" s="6" t="s">
        <v>33</v>
      </c>
      <c r="C39" s="6" t="s">
        <v>127</v>
      </c>
    </row>
    <row r="40" customFormat="false" ht="23.85" hidden="false" customHeight="false" outlineLevel="0" collapsed="false">
      <c r="A40" s="5" t="n">
        <v>4</v>
      </c>
      <c r="B40" s="6" t="s">
        <v>128</v>
      </c>
      <c r="C40" s="6" t="s">
        <v>129</v>
      </c>
    </row>
    <row r="41" customFormat="false" ht="15" hidden="false" customHeight="false" outlineLevel="0" collapsed="false">
      <c r="A41" s="5" t="n">
        <v>5</v>
      </c>
      <c r="B41" s="6" t="s">
        <v>128</v>
      </c>
      <c r="C41" s="6" t="s">
        <v>130</v>
      </c>
    </row>
    <row r="42" customFormat="false" ht="23.85" hidden="false" customHeight="false" outlineLevel="0" collapsed="false">
      <c r="A42" s="5" t="n">
        <v>6</v>
      </c>
      <c r="B42" s="6" t="s">
        <v>124</v>
      </c>
      <c r="C42" s="6" t="s">
        <v>131</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75"/>
  </cols>
  <sheetData>
    <row r="1" customFormat="false" ht="17.35" hidden="false" customHeight="false" outlineLevel="0" collapsed="false">
      <c r="A1" s="1" t="s">
        <v>132</v>
      </c>
    </row>
    <row r="2" customFormat="false" ht="27.75" hidden="false" customHeight="true" outlineLevel="0" collapsed="false">
      <c r="A2" s="2" t="s">
        <v>133</v>
      </c>
      <c r="B2" s="2"/>
      <c r="C2" s="2"/>
      <c r="D2" s="2"/>
      <c r="E2" s="2"/>
      <c r="F2" s="2"/>
    </row>
    <row r="4" customFormat="false" ht="15" hidden="false" customHeight="false" outlineLevel="0" collapsed="false">
      <c r="A4" s="4" t="s">
        <v>134</v>
      </c>
      <c r="B4" s="4" t="s">
        <v>135</v>
      </c>
      <c r="C4" s="4" t="s">
        <v>136</v>
      </c>
    </row>
    <row r="5" customFormat="false" ht="15" hidden="false" customHeight="false" outlineLevel="0" collapsed="false">
      <c r="A5" s="5" t="s">
        <v>137</v>
      </c>
      <c r="B5" s="6" t="s">
        <v>138</v>
      </c>
      <c r="C5" s="6" t="s">
        <v>139</v>
      </c>
    </row>
    <row r="6" customFormat="false" ht="15" hidden="false" customHeight="false" outlineLevel="0" collapsed="false">
      <c r="A6" s="5" t="s">
        <v>140</v>
      </c>
      <c r="B6" s="6" t="s">
        <v>141</v>
      </c>
      <c r="C6" s="6" t="s">
        <v>142</v>
      </c>
    </row>
    <row r="7" customFormat="false" ht="15" hidden="false" customHeight="false" outlineLevel="0" collapsed="false">
      <c r="A7" s="5" t="s">
        <v>143</v>
      </c>
      <c r="B7" s="6" t="s">
        <v>138</v>
      </c>
      <c r="C7" s="6" t="s">
        <v>144</v>
      </c>
    </row>
    <row r="8" customFormat="false" ht="15" hidden="false" customHeight="false" outlineLevel="0" collapsed="false">
      <c r="A8" s="5" t="s">
        <v>145</v>
      </c>
      <c r="B8" s="6" t="s">
        <v>146</v>
      </c>
      <c r="C8" s="6" t="s">
        <v>147</v>
      </c>
    </row>
    <row r="9" customFormat="false" ht="15" hidden="false" customHeight="false" outlineLevel="0" collapsed="false">
      <c r="A9" s="5" t="s">
        <v>148</v>
      </c>
      <c r="B9" s="6" t="s">
        <v>149</v>
      </c>
      <c r="C9" s="6" t="s">
        <v>150</v>
      </c>
    </row>
    <row r="10" customFormat="false" ht="15" hidden="false" customHeight="false" outlineLevel="0" collapsed="false">
      <c r="A10" s="5" t="s">
        <v>151</v>
      </c>
      <c r="B10" s="6" t="s">
        <v>152</v>
      </c>
      <c r="C10" s="6" t="s">
        <v>153</v>
      </c>
    </row>
    <row r="11" customFormat="false" ht="15" hidden="false" customHeight="false" outlineLevel="0" collapsed="false">
      <c r="A11" s="5" t="s">
        <v>154</v>
      </c>
      <c r="B11" s="6" t="s">
        <v>155</v>
      </c>
      <c r="C11" s="6" t="s">
        <v>156</v>
      </c>
    </row>
    <row r="13" customFormat="false" ht="15" hidden="false" customHeight="false" outlineLevel="0" collapsed="false">
      <c r="A13" s="3" t="s">
        <v>157</v>
      </c>
    </row>
    <row r="14" customFormat="false" ht="15" hidden="false" customHeight="false" outlineLevel="0" collapsed="false">
      <c r="A14" s="4" t="s">
        <v>158</v>
      </c>
      <c r="B14" s="4" t="s">
        <v>159</v>
      </c>
      <c r="C14" s="4" t="s">
        <v>160</v>
      </c>
    </row>
    <row r="15" customFormat="false" ht="35.05" hidden="false" customHeight="false" outlineLevel="0" collapsed="false">
      <c r="A15" s="5" t="s">
        <v>161</v>
      </c>
      <c r="B15" s="6" t="s">
        <v>162</v>
      </c>
      <c r="C15" s="6" t="s">
        <v>163</v>
      </c>
    </row>
    <row r="16" customFormat="false" ht="23.85" hidden="false" customHeight="false" outlineLevel="0" collapsed="false">
      <c r="A16" s="5" t="s">
        <v>164</v>
      </c>
      <c r="B16" s="6" t="s">
        <v>165</v>
      </c>
      <c r="C16" s="6" t="s">
        <v>166</v>
      </c>
    </row>
    <row r="17" customFormat="false" ht="35.05" hidden="false" customHeight="false" outlineLevel="0" collapsed="false">
      <c r="A17" s="5" t="s">
        <v>167</v>
      </c>
      <c r="B17" s="6" t="s">
        <v>168</v>
      </c>
      <c r="C17" s="6" t="s">
        <v>169</v>
      </c>
    </row>
    <row r="18" customFormat="false" ht="23.85" hidden="false" customHeight="false" outlineLevel="0" collapsed="false">
      <c r="A18" s="5" t="s">
        <v>170</v>
      </c>
      <c r="B18" s="6" t="s">
        <v>171</v>
      </c>
      <c r="C18" s="6" t="s">
        <v>98</v>
      </c>
    </row>
    <row r="20" customFormat="false" ht="15" hidden="false" customHeight="false" outlineLevel="0" collapsed="false">
      <c r="A20" s="3" t="s">
        <v>172</v>
      </c>
    </row>
    <row r="21" customFormat="false" ht="15" hidden="false" customHeight="false" outlineLevel="0" collapsed="false">
      <c r="A21" s="4" t="s">
        <v>90</v>
      </c>
      <c r="B21" s="4" t="s">
        <v>173</v>
      </c>
      <c r="C21" s="4" t="s">
        <v>160</v>
      </c>
    </row>
    <row r="22" customFormat="false" ht="15" hidden="false" customHeight="false" outlineLevel="0" collapsed="false">
      <c r="A22" s="5" t="n">
        <v>1</v>
      </c>
      <c r="B22" s="6" t="s">
        <v>174</v>
      </c>
      <c r="C22" s="6" t="s">
        <v>175</v>
      </c>
    </row>
    <row r="23" customFormat="false" ht="23.85" hidden="false" customHeight="false" outlineLevel="0" collapsed="false">
      <c r="A23" s="5" t="n">
        <v>2</v>
      </c>
      <c r="B23" s="6" t="s">
        <v>176</v>
      </c>
      <c r="C23" s="6" t="s">
        <v>177</v>
      </c>
    </row>
    <row r="24" customFormat="false" ht="15" hidden="false" customHeight="false" outlineLevel="0" collapsed="false">
      <c r="A24" s="5" t="n">
        <v>3</v>
      </c>
      <c r="B24" s="6" t="s">
        <v>178</v>
      </c>
      <c r="C24" s="6" t="s">
        <v>179</v>
      </c>
    </row>
    <row r="25" customFormat="false" ht="23.85" hidden="false" customHeight="false" outlineLevel="0" collapsed="false">
      <c r="A25" s="5" t="n">
        <v>4</v>
      </c>
      <c r="B25" s="6" t="s">
        <v>180</v>
      </c>
      <c r="C25" s="6" t="s">
        <v>181</v>
      </c>
    </row>
    <row r="26" customFormat="false" ht="15" hidden="false" customHeight="false" outlineLevel="0" collapsed="false">
      <c r="A26" s="5" t="n">
        <v>5</v>
      </c>
      <c r="B26" s="6" t="s">
        <v>182</v>
      </c>
      <c r="C26" s="6" t="s">
        <v>183</v>
      </c>
    </row>
    <row r="28" customFormat="false" ht="15" hidden="false" customHeight="false" outlineLevel="0" collapsed="false">
      <c r="A28" s="3" t="s">
        <v>184</v>
      </c>
    </row>
    <row r="29" customFormat="false" ht="15" hidden="false" customHeight="false" outlineLevel="0" collapsed="false">
      <c r="A29" s="4" t="s">
        <v>185</v>
      </c>
      <c r="B29" s="4" t="s">
        <v>186</v>
      </c>
    </row>
    <row r="30" customFormat="false" ht="23.85" hidden="false" customHeight="false" outlineLevel="0" collapsed="false">
      <c r="A30" s="5" t="s">
        <v>187</v>
      </c>
      <c r="B30" s="6" t="s">
        <v>188</v>
      </c>
    </row>
    <row r="31" customFormat="false" ht="57.45" hidden="false" customHeight="false" outlineLevel="0" collapsed="false">
      <c r="A31" s="5" t="s">
        <v>189</v>
      </c>
      <c r="B31" s="6" t="s">
        <v>190</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70"/>
    <col collapsed="false" customWidth="true" hidden="false" outlineLevel="0" max="4" min="4" style="0" width="40"/>
  </cols>
  <sheetData>
    <row r="1" customFormat="false" ht="17.35" hidden="false" customHeight="false" outlineLevel="0" collapsed="false">
      <c r="A1" s="1" t="s">
        <v>191</v>
      </c>
    </row>
    <row r="2" customFormat="false" ht="27.75" hidden="false" customHeight="true" outlineLevel="0" collapsed="false">
      <c r="A2" s="2" t="s">
        <v>192</v>
      </c>
      <c r="B2" s="2"/>
      <c r="C2" s="2"/>
      <c r="D2" s="2"/>
      <c r="E2" s="2"/>
      <c r="F2" s="2"/>
    </row>
    <row r="5" customFormat="false" ht="15" hidden="false" customHeight="false" outlineLevel="0" collapsed="false">
      <c r="A5" s="3" t="s">
        <v>193</v>
      </c>
    </row>
    <row r="6" customFormat="false" ht="15" hidden="false" customHeight="false" outlineLevel="0" collapsed="false">
      <c r="A6" s="4" t="s">
        <v>194</v>
      </c>
      <c r="B6" s="4" t="s">
        <v>195</v>
      </c>
      <c r="C6" s="4" t="s">
        <v>136</v>
      </c>
      <c r="D6" s="4" t="s">
        <v>196</v>
      </c>
    </row>
    <row r="7" customFormat="false" ht="23.85" hidden="false" customHeight="false" outlineLevel="0" collapsed="false">
      <c r="A7" s="5" t="s">
        <v>197</v>
      </c>
      <c r="B7" s="6" t="s">
        <v>198</v>
      </c>
      <c r="C7" s="6" t="s">
        <v>199</v>
      </c>
      <c r="D7" s="6" t="s">
        <v>200</v>
      </c>
    </row>
    <row r="8" customFormat="false" ht="23.85" hidden="false" customHeight="false" outlineLevel="0" collapsed="false">
      <c r="A8" s="5" t="s">
        <v>201</v>
      </c>
      <c r="B8" s="6" t="s">
        <v>202</v>
      </c>
      <c r="C8" s="6" t="s">
        <v>203</v>
      </c>
      <c r="D8" s="6" t="s">
        <v>204</v>
      </c>
    </row>
    <row r="9" customFormat="false" ht="23.85" hidden="false" customHeight="false" outlineLevel="0" collapsed="false">
      <c r="A9" s="5" t="s">
        <v>205</v>
      </c>
      <c r="B9" s="6" t="s">
        <v>206</v>
      </c>
      <c r="C9" s="6" t="s">
        <v>207</v>
      </c>
      <c r="D9" s="6" t="s">
        <v>208</v>
      </c>
    </row>
    <row r="11" customFormat="false" ht="15" hidden="false" customHeight="false" outlineLevel="0" collapsed="false">
      <c r="A11" s="3" t="s">
        <v>209</v>
      </c>
    </row>
    <row r="12" customFormat="false" ht="15" hidden="false" customHeight="false" outlineLevel="0" collapsed="false">
      <c r="A12" s="4" t="s">
        <v>210</v>
      </c>
      <c r="B12" s="4" t="s">
        <v>211</v>
      </c>
      <c r="C12" s="4" t="s">
        <v>212</v>
      </c>
      <c r="D12" s="4" t="s">
        <v>213</v>
      </c>
    </row>
    <row r="13" customFormat="false" ht="23.85" hidden="false" customHeight="false" outlineLevel="0" collapsed="false">
      <c r="A13" s="5" t="s">
        <v>214</v>
      </c>
      <c r="B13" s="6" t="s">
        <v>215</v>
      </c>
      <c r="C13" s="6" t="s">
        <v>216</v>
      </c>
      <c r="D13" s="6" t="s">
        <v>217</v>
      </c>
    </row>
    <row r="14" customFormat="false" ht="23.85" hidden="false" customHeight="false" outlineLevel="0" collapsed="false">
      <c r="A14" s="5" t="s">
        <v>218</v>
      </c>
      <c r="B14" s="6" t="s">
        <v>219</v>
      </c>
      <c r="C14" s="6" t="s">
        <v>220</v>
      </c>
      <c r="D14" s="6" t="s">
        <v>221</v>
      </c>
    </row>
    <row r="15" customFormat="false" ht="15" hidden="false" customHeight="false" outlineLevel="0" collapsed="false">
      <c r="A15" s="5" t="s">
        <v>222</v>
      </c>
      <c r="B15" s="6" t="s">
        <v>223</v>
      </c>
      <c r="C15" s="6" t="s">
        <v>224</v>
      </c>
      <c r="D15" s="6" t="s">
        <v>225</v>
      </c>
    </row>
    <row r="17" customFormat="false" ht="15" hidden="false" customHeight="false" outlineLevel="0" collapsed="false">
      <c r="A17" s="3" t="s">
        <v>226</v>
      </c>
    </row>
    <row r="18" customFormat="false" ht="15" hidden="false" customHeight="false" outlineLevel="0" collapsed="false">
      <c r="A18" s="4" t="s">
        <v>227</v>
      </c>
      <c r="B18" s="4" t="s">
        <v>228</v>
      </c>
    </row>
    <row r="19" customFormat="false" ht="46.25" hidden="false" customHeight="false" outlineLevel="0" collapsed="false">
      <c r="A19" s="5" t="s">
        <v>229</v>
      </c>
      <c r="B19" s="6" t="s">
        <v>230</v>
      </c>
    </row>
    <row r="20" customFormat="false" ht="23.85" hidden="false" customHeight="false" outlineLevel="0" collapsed="false">
      <c r="A20" s="5" t="s">
        <v>231</v>
      </c>
      <c r="B20" s="6" t="s">
        <v>232</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5"/>
    <col collapsed="false" customWidth="true" hidden="false" outlineLevel="0" max="4" min="4" style="0" width="10"/>
    <col collapsed="false" customWidth="true" hidden="false" outlineLevel="0" max="5" min="5" style="0" width="26"/>
    <col collapsed="false" customWidth="true" hidden="false" outlineLevel="0" max="6" min="6" style="0" width="40"/>
    <col collapsed="false" customWidth="true" hidden="false" outlineLevel="0" max="7" min="7" style="0" width="38"/>
    <col collapsed="false" customWidth="true" hidden="false" outlineLevel="0" max="9" min="8" style="0" width="42"/>
    <col collapsed="false" customWidth="true" hidden="false" outlineLevel="0" max="10" min="10" style="0" width="26"/>
  </cols>
  <sheetData>
    <row r="1" customFormat="false" ht="17.35" hidden="false" customHeight="false" outlineLevel="0" collapsed="false">
      <c r="A1" s="1" t="s">
        <v>233</v>
      </c>
    </row>
    <row r="2" customFormat="false" ht="27.75" hidden="false" customHeight="true" outlineLevel="0" collapsed="false">
      <c r="A2" s="2" t="s">
        <v>234</v>
      </c>
      <c r="B2" s="2"/>
      <c r="C2" s="2"/>
      <c r="D2" s="2"/>
      <c r="E2" s="2"/>
      <c r="F2" s="2"/>
    </row>
    <row r="4" customFormat="false" ht="15" hidden="false" customHeight="false" outlineLevel="0" collapsed="false">
      <c r="A4" s="4" t="s">
        <v>235</v>
      </c>
      <c r="B4" s="4" t="s">
        <v>194</v>
      </c>
      <c r="C4" s="4" t="s">
        <v>210</v>
      </c>
      <c r="D4" s="4" t="s">
        <v>213</v>
      </c>
      <c r="E4" s="4" t="s">
        <v>236</v>
      </c>
      <c r="F4" s="4" t="s">
        <v>237</v>
      </c>
      <c r="G4" s="4" t="s">
        <v>238</v>
      </c>
      <c r="H4" s="4" t="s">
        <v>239</v>
      </c>
      <c r="I4" s="4" t="s">
        <v>143</v>
      </c>
      <c r="J4" s="4" t="s">
        <v>240</v>
      </c>
    </row>
    <row r="5" customFormat="false" ht="23.85" hidden="false" customHeight="false" outlineLevel="0" collapsed="false">
      <c r="A5" s="5" t="s">
        <v>124</v>
      </c>
      <c r="B5" s="6" t="s">
        <v>241</v>
      </c>
      <c r="C5" s="6" t="s">
        <v>214</v>
      </c>
      <c r="D5" s="6" t="s">
        <v>242</v>
      </c>
      <c r="E5" s="6" t="s">
        <v>243</v>
      </c>
      <c r="F5" s="6" t="s">
        <v>244</v>
      </c>
      <c r="G5" s="6" t="s">
        <v>245</v>
      </c>
      <c r="H5" s="6" t="s">
        <v>246</v>
      </c>
      <c r="I5" s="6" t="s">
        <v>247</v>
      </c>
      <c r="J5" s="6" t="s">
        <v>248</v>
      </c>
    </row>
    <row r="6" customFormat="false" ht="15" hidden="false" customHeight="false" outlineLevel="0" collapsed="false">
      <c r="A6" s="7" t="s">
        <v>124</v>
      </c>
      <c r="B6" s="8" t="s">
        <v>241</v>
      </c>
      <c r="C6" s="8" t="s">
        <v>218</v>
      </c>
      <c r="D6" s="8" t="s">
        <v>242</v>
      </c>
      <c r="E6" s="8" t="s">
        <v>98</v>
      </c>
      <c r="F6" s="8" t="s">
        <v>98</v>
      </c>
      <c r="G6" s="8" t="s">
        <v>249</v>
      </c>
      <c r="H6" s="8" t="s">
        <v>98</v>
      </c>
      <c r="I6" s="8" t="s">
        <v>98</v>
      </c>
      <c r="J6" s="8" t="s">
        <v>248</v>
      </c>
    </row>
    <row r="7" customFormat="false" ht="23.85" hidden="false" customHeight="false" outlineLevel="0" collapsed="false">
      <c r="A7" s="5" t="s">
        <v>124</v>
      </c>
      <c r="B7" s="6" t="s">
        <v>241</v>
      </c>
      <c r="C7" s="6" t="s">
        <v>222</v>
      </c>
      <c r="D7" s="6" t="s">
        <v>242</v>
      </c>
      <c r="E7" s="6" t="s">
        <v>250</v>
      </c>
      <c r="F7" s="6" t="s">
        <v>251</v>
      </c>
      <c r="G7" s="6" t="s">
        <v>245</v>
      </c>
      <c r="H7" s="6" t="s">
        <v>252</v>
      </c>
      <c r="I7" s="6" t="s">
        <v>247</v>
      </c>
      <c r="J7" s="6" t="s">
        <v>253</v>
      </c>
    </row>
    <row r="8" customFormat="false" ht="23.85" hidden="false" customHeight="false" outlineLevel="0" collapsed="false">
      <c r="A8" s="5" t="s">
        <v>124</v>
      </c>
      <c r="B8" s="6" t="s">
        <v>254</v>
      </c>
      <c r="C8" s="6" t="s">
        <v>214</v>
      </c>
      <c r="D8" s="6" t="s">
        <v>242</v>
      </c>
      <c r="E8" s="6" t="s">
        <v>255</v>
      </c>
      <c r="F8" s="6" t="s">
        <v>256</v>
      </c>
      <c r="G8" s="6" t="s">
        <v>257</v>
      </c>
      <c r="H8" s="6" t="s">
        <v>258</v>
      </c>
      <c r="I8" s="6" t="s">
        <v>247</v>
      </c>
      <c r="J8" s="6" t="s">
        <v>248</v>
      </c>
    </row>
    <row r="9" customFormat="false" ht="15" hidden="false" customHeight="false" outlineLevel="0" collapsed="false">
      <c r="A9" s="7" t="s">
        <v>124</v>
      </c>
      <c r="B9" s="8" t="s">
        <v>254</v>
      </c>
      <c r="C9" s="8" t="s">
        <v>218</v>
      </c>
      <c r="D9" s="8" t="s">
        <v>242</v>
      </c>
      <c r="E9" s="8" t="s">
        <v>98</v>
      </c>
      <c r="F9" s="8" t="s">
        <v>98</v>
      </c>
      <c r="G9" s="8" t="s">
        <v>249</v>
      </c>
      <c r="H9" s="8" t="s">
        <v>98</v>
      </c>
      <c r="I9" s="8" t="s">
        <v>98</v>
      </c>
      <c r="J9" s="8" t="s">
        <v>248</v>
      </c>
    </row>
    <row r="10" customFormat="false" ht="23.85" hidden="false" customHeight="false" outlineLevel="0" collapsed="false">
      <c r="A10" s="5" t="s">
        <v>124</v>
      </c>
      <c r="B10" s="6" t="s">
        <v>254</v>
      </c>
      <c r="C10" s="6" t="s">
        <v>222</v>
      </c>
      <c r="D10" s="6" t="s">
        <v>242</v>
      </c>
      <c r="E10" s="6" t="s">
        <v>259</v>
      </c>
      <c r="F10" s="6" t="s">
        <v>251</v>
      </c>
      <c r="G10" s="6" t="s">
        <v>257</v>
      </c>
      <c r="H10" s="6" t="s">
        <v>260</v>
      </c>
      <c r="I10" s="6" t="s">
        <v>247</v>
      </c>
      <c r="J10" s="6" t="s">
        <v>253</v>
      </c>
    </row>
    <row r="11" customFormat="false" ht="23.85" hidden="false" customHeight="false" outlineLevel="0" collapsed="false">
      <c r="A11" s="5" t="s">
        <v>124</v>
      </c>
      <c r="B11" s="6" t="s">
        <v>241</v>
      </c>
      <c r="C11" s="6" t="s">
        <v>214</v>
      </c>
      <c r="D11" s="6" t="s">
        <v>261</v>
      </c>
      <c r="E11" s="6" t="s">
        <v>262</v>
      </c>
      <c r="F11" s="6" t="s">
        <v>244</v>
      </c>
      <c r="G11" s="6" t="s">
        <v>263</v>
      </c>
      <c r="H11" s="6" t="s">
        <v>264</v>
      </c>
      <c r="I11" s="6" t="s">
        <v>265</v>
      </c>
      <c r="J11" s="6" t="s">
        <v>248</v>
      </c>
    </row>
    <row r="12" customFormat="false" ht="23.85" hidden="false" customHeight="false" outlineLevel="0" collapsed="false">
      <c r="A12" s="9" t="s">
        <v>124</v>
      </c>
      <c r="B12" s="10" t="s">
        <v>241</v>
      </c>
      <c r="C12" s="10" t="s">
        <v>218</v>
      </c>
      <c r="D12" s="10" t="s">
        <v>261</v>
      </c>
      <c r="E12" s="10" t="s">
        <v>266</v>
      </c>
      <c r="F12" s="10" t="s">
        <v>267</v>
      </c>
      <c r="G12" s="10" t="s">
        <v>268</v>
      </c>
      <c r="H12" s="10" t="s">
        <v>269</v>
      </c>
      <c r="I12" s="10" t="s">
        <v>270</v>
      </c>
      <c r="J12" s="10" t="s">
        <v>248</v>
      </c>
    </row>
    <row r="13" customFormat="false" ht="15" hidden="false" customHeight="false" outlineLevel="0" collapsed="false">
      <c r="A13" s="7" t="s">
        <v>124</v>
      </c>
      <c r="B13" s="8" t="s">
        <v>241</v>
      </c>
      <c r="C13" s="8" t="s">
        <v>222</v>
      </c>
      <c r="D13" s="8" t="s">
        <v>261</v>
      </c>
      <c r="E13" s="8" t="s">
        <v>98</v>
      </c>
      <c r="F13" s="8" t="s">
        <v>98</v>
      </c>
      <c r="G13" s="8" t="s">
        <v>249</v>
      </c>
      <c r="H13" s="8" t="s">
        <v>98</v>
      </c>
      <c r="I13" s="8" t="s">
        <v>98</v>
      </c>
      <c r="J13" s="8" t="s">
        <v>248</v>
      </c>
    </row>
    <row r="14" customFormat="false" ht="23.85" hidden="false" customHeight="false" outlineLevel="0" collapsed="false">
      <c r="A14" s="5" t="s">
        <v>124</v>
      </c>
      <c r="B14" s="6" t="s">
        <v>254</v>
      </c>
      <c r="C14" s="6" t="s">
        <v>214</v>
      </c>
      <c r="D14" s="6" t="s">
        <v>261</v>
      </c>
      <c r="E14" s="6" t="s">
        <v>271</v>
      </c>
      <c r="F14" s="6" t="s">
        <v>256</v>
      </c>
      <c r="G14" s="6" t="s">
        <v>272</v>
      </c>
      <c r="H14" s="6" t="s">
        <v>264</v>
      </c>
      <c r="I14" s="6" t="s">
        <v>273</v>
      </c>
      <c r="J14" s="6" t="s">
        <v>248</v>
      </c>
    </row>
    <row r="15" customFormat="false" ht="23.85" hidden="false" customHeight="false" outlineLevel="0" collapsed="false">
      <c r="A15" s="9" t="s">
        <v>124</v>
      </c>
      <c r="B15" s="10" t="s">
        <v>254</v>
      </c>
      <c r="C15" s="10" t="s">
        <v>218</v>
      </c>
      <c r="D15" s="10" t="s">
        <v>261</v>
      </c>
      <c r="E15" s="10" t="s">
        <v>274</v>
      </c>
      <c r="F15" s="10" t="s">
        <v>275</v>
      </c>
      <c r="G15" s="10" t="s">
        <v>276</v>
      </c>
      <c r="H15" s="10" t="s">
        <v>277</v>
      </c>
      <c r="I15" s="10" t="s">
        <v>278</v>
      </c>
      <c r="J15" s="10" t="s">
        <v>248</v>
      </c>
    </row>
    <row r="16" customFormat="false" ht="15" hidden="false" customHeight="false" outlineLevel="0" collapsed="false">
      <c r="A16" s="7" t="s">
        <v>124</v>
      </c>
      <c r="B16" s="8" t="s">
        <v>254</v>
      </c>
      <c r="C16" s="8" t="s">
        <v>222</v>
      </c>
      <c r="D16" s="8" t="s">
        <v>261</v>
      </c>
      <c r="E16" s="8" t="s">
        <v>98</v>
      </c>
      <c r="F16" s="8" t="s">
        <v>98</v>
      </c>
      <c r="G16" s="8" t="s">
        <v>249</v>
      </c>
      <c r="H16" s="8" t="s">
        <v>98</v>
      </c>
      <c r="I16" s="8" t="s">
        <v>98</v>
      </c>
      <c r="J16" s="8" t="s">
        <v>248</v>
      </c>
    </row>
    <row r="17" customFormat="false" ht="23.85" hidden="false" customHeight="false" outlineLevel="0" collapsed="false">
      <c r="A17" s="5" t="s">
        <v>128</v>
      </c>
      <c r="B17" s="6" t="s">
        <v>279</v>
      </c>
      <c r="C17" s="6" t="s">
        <v>214</v>
      </c>
      <c r="D17" s="6" t="s">
        <v>242</v>
      </c>
      <c r="E17" s="6" t="s">
        <v>243</v>
      </c>
      <c r="F17" s="6" t="s">
        <v>244</v>
      </c>
      <c r="G17" s="6" t="s">
        <v>245</v>
      </c>
      <c r="H17" s="6" t="s">
        <v>264</v>
      </c>
      <c r="I17" s="6" t="s">
        <v>247</v>
      </c>
      <c r="J17" s="6" t="s">
        <v>248</v>
      </c>
    </row>
    <row r="18" customFormat="false" ht="23.85" hidden="false" customHeight="false" outlineLevel="0" collapsed="false">
      <c r="A18" s="7" t="s">
        <v>128</v>
      </c>
      <c r="B18" s="8" t="s">
        <v>279</v>
      </c>
      <c r="C18" s="8" t="s">
        <v>218</v>
      </c>
      <c r="D18" s="8" t="s">
        <v>242</v>
      </c>
      <c r="E18" s="8" t="s">
        <v>98</v>
      </c>
      <c r="F18" s="8" t="s">
        <v>98</v>
      </c>
      <c r="G18" s="8" t="s">
        <v>249</v>
      </c>
      <c r="H18" s="8" t="s">
        <v>98</v>
      </c>
      <c r="I18" s="8" t="s">
        <v>98</v>
      </c>
      <c r="J18" s="8" t="s">
        <v>248</v>
      </c>
    </row>
    <row r="19" customFormat="false" ht="23.85" hidden="false" customHeight="false" outlineLevel="0" collapsed="false">
      <c r="A19" s="5" t="s">
        <v>128</v>
      </c>
      <c r="B19" s="6" t="s">
        <v>279</v>
      </c>
      <c r="C19" s="6" t="s">
        <v>222</v>
      </c>
      <c r="D19" s="6" t="s">
        <v>242</v>
      </c>
      <c r="E19" s="6" t="s">
        <v>250</v>
      </c>
      <c r="F19" s="6" t="s">
        <v>251</v>
      </c>
      <c r="G19" s="6" t="s">
        <v>245</v>
      </c>
      <c r="H19" s="6" t="s">
        <v>252</v>
      </c>
      <c r="I19" s="6" t="s">
        <v>247</v>
      </c>
      <c r="J19" s="6" t="s">
        <v>253</v>
      </c>
    </row>
    <row r="20" customFormat="false" ht="23.85" hidden="false" customHeight="false" outlineLevel="0" collapsed="false">
      <c r="A20" s="5" t="s">
        <v>128</v>
      </c>
      <c r="B20" s="6" t="s">
        <v>279</v>
      </c>
      <c r="C20" s="6" t="s">
        <v>214</v>
      </c>
      <c r="D20" s="6" t="s">
        <v>261</v>
      </c>
      <c r="E20" s="6" t="s">
        <v>262</v>
      </c>
      <c r="F20" s="6" t="s">
        <v>244</v>
      </c>
      <c r="G20" s="6" t="s">
        <v>263</v>
      </c>
      <c r="H20" s="6" t="s">
        <v>264</v>
      </c>
      <c r="I20" s="6" t="s">
        <v>265</v>
      </c>
      <c r="J20" s="6" t="s">
        <v>248</v>
      </c>
    </row>
    <row r="21" customFormat="false" ht="23.85" hidden="false" customHeight="false" outlineLevel="0" collapsed="false">
      <c r="A21" s="9" t="s">
        <v>128</v>
      </c>
      <c r="B21" s="10" t="s">
        <v>279</v>
      </c>
      <c r="C21" s="10" t="s">
        <v>218</v>
      </c>
      <c r="D21" s="10" t="s">
        <v>261</v>
      </c>
      <c r="E21" s="10" t="s">
        <v>266</v>
      </c>
      <c r="F21" s="10" t="s">
        <v>267</v>
      </c>
      <c r="G21" s="10" t="s">
        <v>268</v>
      </c>
      <c r="H21" s="10" t="s">
        <v>269</v>
      </c>
      <c r="I21" s="10" t="s">
        <v>270</v>
      </c>
      <c r="J21" s="10" t="s">
        <v>248</v>
      </c>
    </row>
    <row r="22" customFormat="false" ht="23.85" hidden="false" customHeight="false" outlineLevel="0" collapsed="false">
      <c r="A22" s="7" t="s">
        <v>128</v>
      </c>
      <c r="B22" s="8" t="s">
        <v>279</v>
      </c>
      <c r="C22" s="8" t="s">
        <v>222</v>
      </c>
      <c r="D22" s="8" t="s">
        <v>261</v>
      </c>
      <c r="E22" s="8" t="s">
        <v>98</v>
      </c>
      <c r="F22" s="8" t="s">
        <v>98</v>
      </c>
      <c r="G22" s="8" t="s">
        <v>249</v>
      </c>
      <c r="H22" s="8" t="s">
        <v>98</v>
      </c>
      <c r="I22" s="8" t="s">
        <v>98</v>
      </c>
      <c r="J22" s="8" t="s">
        <v>248</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2"/>
    <col collapsed="false" customWidth="true" hidden="false" outlineLevel="0" max="3" min="3" style="0" width="34"/>
    <col collapsed="false" customWidth="true" hidden="false" outlineLevel="0" max="4" min="4" style="0" width="42"/>
  </cols>
  <sheetData>
    <row r="1" customFormat="false" ht="17.35" hidden="false" customHeight="false" outlineLevel="0" collapsed="false">
      <c r="A1" s="1" t="s">
        <v>280</v>
      </c>
    </row>
    <row r="2" customFormat="false" ht="27.75" hidden="false" customHeight="true" outlineLevel="0" collapsed="false">
      <c r="A2" s="2" t="s">
        <v>281</v>
      </c>
      <c r="B2" s="2"/>
      <c r="C2" s="2"/>
      <c r="D2" s="2"/>
      <c r="E2" s="2"/>
      <c r="F2" s="2"/>
    </row>
    <row r="4" customFormat="false" ht="15" hidden="false" customHeight="false" outlineLevel="0" collapsed="false">
      <c r="A4" s="4" t="s">
        <v>282</v>
      </c>
      <c r="B4" s="4" t="s">
        <v>214</v>
      </c>
      <c r="C4" s="4" t="s">
        <v>218</v>
      </c>
      <c r="D4" s="4" t="s">
        <v>222</v>
      </c>
    </row>
    <row r="5" customFormat="false" ht="15" hidden="false" customHeight="false" outlineLevel="0" collapsed="false">
      <c r="A5" s="5" t="s">
        <v>283</v>
      </c>
      <c r="B5" s="6" t="s">
        <v>284</v>
      </c>
      <c r="C5" s="6" t="s">
        <v>221</v>
      </c>
      <c r="D5" s="6" t="s">
        <v>285</v>
      </c>
    </row>
    <row r="6" customFormat="false" ht="23.85" hidden="false" customHeight="false" outlineLevel="0" collapsed="false">
      <c r="A6" s="9" t="s">
        <v>286</v>
      </c>
      <c r="B6" s="10" t="s">
        <v>287</v>
      </c>
      <c r="C6" s="10" t="s">
        <v>288</v>
      </c>
      <c r="D6" s="10" t="s">
        <v>289</v>
      </c>
    </row>
    <row r="7" customFormat="false" ht="15" hidden="false" customHeight="false" outlineLevel="0" collapsed="false">
      <c r="A7" s="5" t="s">
        <v>290</v>
      </c>
      <c r="B7" s="6" t="s">
        <v>291</v>
      </c>
      <c r="C7" s="6" t="s">
        <v>292</v>
      </c>
      <c r="D7" s="6" t="s">
        <v>293</v>
      </c>
    </row>
    <row r="8" customFormat="false" ht="15" hidden="false" customHeight="false" outlineLevel="0" collapsed="false">
      <c r="A8" s="5" t="s">
        <v>294</v>
      </c>
      <c r="B8" s="6" t="s">
        <v>295</v>
      </c>
      <c r="C8" s="6" t="s">
        <v>296</v>
      </c>
      <c r="D8" s="6" t="s">
        <v>295</v>
      </c>
    </row>
    <row r="9" customFormat="false" ht="23.85" hidden="false" customHeight="false" outlineLevel="0" collapsed="false">
      <c r="A9" s="5" t="s">
        <v>297</v>
      </c>
      <c r="B9" s="6" t="s">
        <v>298</v>
      </c>
      <c r="C9" s="6" t="s">
        <v>298</v>
      </c>
      <c r="D9" s="6" t="s">
        <v>299</v>
      </c>
    </row>
    <row r="11" customFormat="false" ht="15" hidden="false" customHeight="false" outlineLevel="0" collapsed="false">
      <c r="A11" s="3" t="s">
        <v>300</v>
      </c>
    </row>
    <row r="12" customFormat="false" ht="15" hidden="false" customHeight="false" outlineLevel="0" collapsed="false">
      <c r="A12" s="4" t="s">
        <v>301</v>
      </c>
      <c r="B12" s="4" t="s">
        <v>302</v>
      </c>
      <c r="C12" s="4" t="s">
        <v>303</v>
      </c>
    </row>
    <row r="13" customFormat="false" ht="15" hidden="false" customHeight="false" outlineLevel="0" collapsed="false">
      <c r="A13" s="5" t="s">
        <v>304</v>
      </c>
      <c r="B13" s="6" t="s">
        <v>305</v>
      </c>
      <c r="C13" s="6" t="s">
        <v>306</v>
      </c>
    </row>
    <row r="14" customFormat="false" ht="23.85" hidden="false" customHeight="false" outlineLevel="0" collapsed="false">
      <c r="A14" s="5" t="s">
        <v>307</v>
      </c>
      <c r="B14" s="6" t="s">
        <v>308</v>
      </c>
      <c r="C14" s="6" t="s">
        <v>284</v>
      </c>
    </row>
    <row r="15" customFormat="false" ht="23.85" hidden="false" customHeight="false" outlineLevel="0" collapsed="false">
      <c r="A15" s="9" t="s">
        <v>218</v>
      </c>
      <c r="B15" s="10" t="s">
        <v>309</v>
      </c>
      <c r="C15" s="10" t="s">
        <v>288</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70"/>
    <col collapsed="false" customWidth="true" hidden="false" outlineLevel="0" max="4" min="4" style="0" width="22"/>
  </cols>
  <sheetData>
    <row r="1" customFormat="false" ht="17.35" hidden="false" customHeight="false" outlineLevel="0" collapsed="false">
      <c r="A1" s="1" t="s">
        <v>310</v>
      </c>
    </row>
    <row r="2" customFormat="false" ht="13.5" hidden="false" customHeight="true" outlineLevel="0" collapsed="false">
      <c r="A2" s="2" t="s">
        <v>311</v>
      </c>
      <c r="B2" s="2"/>
      <c r="C2" s="2"/>
      <c r="D2" s="2"/>
      <c r="E2" s="2"/>
      <c r="F2" s="2"/>
    </row>
    <row r="4" customFormat="false" ht="15" hidden="false" customHeight="false" outlineLevel="0" collapsed="false">
      <c r="A4" s="4" t="s">
        <v>312</v>
      </c>
      <c r="B4" s="4" t="s">
        <v>301</v>
      </c>
      <c r="C4" s="4" t="s">
        <v>313</v>
      </c>
      <c r="D4" s="4" t="s">
        <v>314</v>
      </c>
    </row>
    <row r="5" customFormat="false" ht="15" hidden="false" customHeight="false" outlineLevel="0" collapsed="false">
      <c r="A5" s="11" t="s">
        <v>214</v>
      </c>
      <c r="B5" s="12" t="s">
        <v>315</v>
      </c>
      <c r="C5" s="12" t="s">
        <v>316</v>
      </c>
      <c r="D5" s="12" t="s">
        <v>317</v>
      </c>
    </row>
    <row r="6" customFormat="false" ht="15" hidden="false" customHeight="false" outlineLevel="0" collapsed="false">
      <c r="A6" s="5" t="s">
        <v>214</v>
      </c>
      <c r="B6" s="6" t="s">
        <v>214</v>
      </c>
      <c r="C6" s="6" t="s">
        <v>318</v>
      </c>
      <c r="D6" s="6" t="s">
        <v>319</v>
      </c>
    </row>
    <row r="7" customFormat="false" ht="15" hidden="false" customHeight="false" outlineLevel="0" collapsed="false">
      <c r="A7" s="9" t="s">
        <v>214</v>
      </c>
      <c r="B7" s="10" t="s">
        <v>218</v>
      </c>
      <c r="C7" s="10" t="s">
        <v>320</v>
      </c>
      <c r="D7" s="10" t="s">
        <v>321</v>
      </c>
    </row>
    <row r="8" customFormat="false" ht="15" hidden="false" customHeight="false" outlineLevel="0" collapsed="false">
      <c r="A8" s="11" t="s">
        <v>315</v>
      </c>
      <c r="B8" s="12" t="s">
        <v>315</v>
      </c>
      <c r="C8" s="12" t="s">
        <v>322</v>
      </c>
      <c r="D8" s="12" t="s">
        <v>317</v>
      </c>
    </row>
    <row r="9" customFormat="false" ht="15" hidden="false" customHeight="false" outlineLevel="0" collapsed="false">
      <c r="A9" s="9" t="s">
        <v>315</v>
      </c>
      <c r="B9" s="10" t="s">
        <v>218</v>
      </c>
      <c r="C9" s="10" t="s">
        <v>323</v>
      </c>
      <c r="D9" s="10" t="s">
        <v>324</v>
      </c>
    </row>
    <row r="10" customFormat="false" ht="15" hidden="false" customHeight="false" outlineLevel="0" collapsed="false">
      <c r="A10" s="11" t="s">
        <v>218</v>
      </c>
      <c r="B10" s="12" t="s">
        <v>315</v>
      </c>
      <c r="C10" s="12" t="s">
        <v>325</v>
      </c>
      <c r="D10" s="12" t="s">
        <v>317</v>
      </c>
    </row>
    <row r="11" customFormat="false" ht="15" hidden="false" customHeight="false" outlineLevel="0" collapsed="false">
      <c r="A11" s="9" t="s">
        <v>218</v>
      </c>
      <c r="B11" s="10" t="s">
        <v>218</v>
      </c>
      <c r="C11" s="10" t="s">
        <v>326</v>
      </c>
      <c r="D11" s="10" t="s">
        <v>327</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3" min="3" style="0" width="26"/>
    <col collapsed="false" customWidth="true" hidden="false" outlineLevel="0" max="4" min="4" style="0" width="75"/>
  </cols>
  <sheetData>
    <row r="1" customFormat="false" ht="17.35" hidden="false" customHeight="false" outlineLevel="0" collapsed="false">
      <c r="A1" s="1" t="s">
        <v>328</v>
      </c>
    </row>
    <row r="2" customFormat="false" ht="42" hidden="false" customHeight="true" outlineLevel="0" collapsed="false">
      <c r="A2" s="2" t="s">
        <v>329</v>
      </c>
      <c r="B2" s="2"/>
      <c r="C2" s="2"/>
      <c r="D2" s="2"/>
      <c r="E2" s="2"/>
      <c r="F2" s="2"/>
    </row>
    <row r="4" customFormat="false" ht="15" hidden="false" customHeight="false" outlineLevel="0" collapsed="false">
      <c r="A4" s="4" t="s">
        <v>330</v>
      </c>
      <c r="B4" s="4" t="s">
        <v>331</v>
      </c>
      <c r="C4" s="4" t="s">
        <v>332</v>
      </c>
      <c r="D4" s="4" t="s">
        <v>159</v>
      </c>
    </row>
    <row r="5" customFormat="false" ht="15" hidden="false" customHeight="false" outlineLevel="0" collapsed="false">
      <c r="A5" s="5" t="s">
        <v>333</v>
      </c>
      <c r="B5" s="6" t="s">
        <v>334</v>
      </c>
      <c r="C5" s="6" t="s">
        <v>197</v>
      </c>
      <c r="D5" s="6" t="s">
        <v>335</v>
      </c>
    </row>
    <row r="6" customFormat="false" ht="15" hidden="false" customHeight="false" outlineLevel="0" collapsed="false">
      <c r="A6" s="5" t="s">
        <v>336</v>
      </c>
      <c r="B6" s="6" t="s">
        <v>337</v>
      </c>
      <c r="C6" s="6" t="s">
        <v>214</v>
      </c>
      <c r="D6" s="6" t="s">
        <v>338</v>
      </c>
    </row>
    <row r="7" customFormat="false" ht="15" hidden="false" customHeight="false" outlineLevel="0" collapsed="false">
      <c r="A7" s="5" t="s">
        <v>339</v>
      </c>
      <c r="B7" s="6" t="s">
        <v>337</v>
      </c>
      <c r="C7" s="6" t="s">
        <v>340</v>
      </c>
      <c r="D7" s="6"/>
    </row>
    <row r="8" customFormat="false" ht="15" hidden="false" customHeight="false" outlineLevel="0" collapsed="false">
      <c r="A8" s="5" t="s">
        <v>341</v>
      </c>
      <c r="B8" s="6" t="s">
        <v>337</v>
      </c>
      <c r="C8" s="6" t="s">
        <v>342</v>
      </c>
      <c r="D8" s="6" t="s">
        <v>343</v>
      </c>
    </row>
    <row r="9" customFormat="false" ht="15" hidden="false" customHeight="false" outlineLevel="0" collapsed="false">
      <c r="A9" s="5" t="s">
        <v>344</v>
      </c>
      <c r="B9" s="6" t="s">
        <v>337</v>
      </c>
      <c r="C9" s="6" t="s">
        <v>345</v>
      </c>
      <c r="D9" s="6" t="s">
        <v>346</v>
      </c>
    </row>
    <row r="10" customFormat="false" ht="15" hidden="false" customHeight="false" outlineLevel="0" collapsed="false">
      <c r="A10" s="5" t="s">
        <v>347</v>
      </c>
      <c r="B10" s="6" t="s">
        <v>337</v>
      </c>
      <c r="C10" s="6" t="s">
        <v>348</v>
      </c>
      <c r="D10" s="6" t="s">
        <v>349</v>
      </c>
    </row>
    <row r="11" customFormat="false" ht="15" hidden="false" customHeight="false" outlineLevel="0" collapsed="false">
      <c r="A11" s="5" t="s">
        <v>350</v>
      </c>
      <c r="B11" s="6" t="s">
        <v>351</v>
      </c>
      <c r="C11" s="6" t="s">
        <v>352</v>
      </c>
      <c r="D11" s="6" t="s">
        <v>353</v>
      </c>
    </row>
    <row r="12" customFormat="false" ht="15" hidden="false" customHeight="false" outlineLevel="0" collapsed="false">
      <c r="A12" s="5" t="s">
        <v>354</v>
      </c>
      <c r="B12" s="6" t="s">
        <v>355</v>
      </c>
      <c r="C12" s="6"/>
      <c r="D12" s="6" t="s">
        <v>356</v>
      </c>
    </row>
    <row r="13" customFormat="false" ht="15" hidden="false" customHeight="false" outlineLevel="0" collapsed="false">
      <c r="A13" s="5" t="s">
        <v>357</v>
      </c>
      <c r="B13" s="6" t="s">
        <v>358</v>
      </c>
      <c r="C13" s="6"/>
      <c r="D13" s="6" t="s">
        <v>359</v>
      </c>
    </row>
    <row r="14" customFormat="false" ht="23.85" hidden="false" customHeight="false" outlineLevel="0" collapsed="false">
      <c r="A14" s="5" t="s">
        <v>360</v>
      </c>
      <c r="B14" s="6" t="s">
        <v>355</v>
      </c>
      <c r="C14" s="6"/>
      <c r="D14" s="6" t="s">
        <v>361</v>
      </c>
    </row>
    <row r="15" customFormat="false" ht="15" hidden="false" customHeight="false" outlineLevel="0" collapsed="false">
      <c r="A15" s="5" t="s">
        <v>362</v>
      </c>
      <c r="B15" s="6" t="s">
        <v>355</v>
      </c>
      <c r="C15" s="6" t="s">
        <v>363</v>
      </c>
      <c r="D15" s="6" t="s">
        <v>364</v>
      </c>
    </row>
    <row r="16" customFormat="false" ht="15" hidden="false" customHeight="false" outlineLevel="0" collapsed="false">
      <c r="A16" s="5" t="s">
        <v>365</v>
      </c>
      <c r="B16" s="6" t="s">
        <v>358</v>
      </c>
      <c r="C16" s="6"/>
      <c r="D16" s="6" t="s">
        <v>366</v>
      </c>
    </row>
    <row r="17" customFormat="false" ht="15" hidden="false" customHeight="false" outlineLevel="0" collapsed="false">
      <c r="A17" s="5" t="s">
        <v>367</v>
      </c>
      <c r="B17" s="6" t="s">
        <v>358</v>
      </c>
      <c r="C17" s="6" t="s">
        <v>368</v>
      </c>
      <c r="D17" s="6" t="s">
        <v>369</v>
      </c>
    </row>
    <row r="18" customFormat="false" ht="23.85" hidden="false" customHeight="false" outlineLevel="0" collapsed="false">
      <c r="A18" s="5" t="s">
        <v>370</v>
      </c>
      <c r="B18" s="6" t="s">
        <v>358</v>
      </c>
      <c r="C18" s="6"/>
      <c r="D18" s="6" t="s">
        <v>371</v>
      </c>
    </row>
    <row r="19" customFormat="false" ht="15" hidden="false" customHeight="false" outlineLevel="0" collapsed="false">
      <c r="A19" s="5" t="s">
        <v>372</v>
      </c>
      <c r="B19" s="6" t="s">
        <v>358</v>
      </c>
      <c r="C19" s="6" t="s">
        <v>373</v>
      </c>
      <c r="D19" s="6" t="s">
        <v>374</v>
      </c>
    </row>
    <row r="20" customFormat="false" ht="15" hidden="false" customHeight="false" outlineLevel="0" collapsed="false">
      <c r="A20" s="5" t="s">
        <v>375</v>
      </c>
      <c r="B20" s="6" t="s">
        <v>358</v>
      </c>
      <c r="C20" s="6" t="s">
        <v>376</v>
      </c>
      <c r="D20" s="6" t="s">
        <v>377</v>
      </c>
    </row>
    <row r="21" customFormat="false" ht="15" hidden="false" customHeight="false" outlineLevel="0" collapsed="false">
      <c r="A21" s="5" t="s">
        <v>378</v>
      </c>
      <c r="B21" s="6" t="s">
        <v>358</v>
      </c>
      <c r="C21" s="6" t="s">
        <v>379</v>
      </c>
      <c r="D21" s="6" t="s">
        <v>380</v>
      </c>
    </row>
    <row r="22" customFormat="false" ht="15" hidden="false" customHeight="false" outlineLevel="0" collapsed="false">
      <c r="A22" s="5" t="s">
        <v>381</v>
      </c>
      <c r="B22" s="6" t="s">
        <v>358</v>
      </c>
      <c r="C22" s="6" t="s">
        <v>342</v>
      </c>
      <c r="D22" s="6" t="s">
        <v>382</v>
      </c>
    </row>
    <row r="23" customFormat="false" ht="15" hidden="false" customHeight="false" outlineLevel="0" collapsed="false">
      <c r="A23" s="5" t="s">
        <v>383</v>
      </c>
      <c r="B23" s="6" t="s">
        <v>358</v>
      </c>
      <c r="C23" s="6" t="s">
        <v>384</v>
      </c>
      <c r="D23" s="6" t="s">
        <v>385</v>
      </c>
    </row>
    <row r="24" customFormat="false" ht="15" hidden="false" customHeight="false" outlineLevel="0" collapsed="false">
      <c r="A24" s="5" t="s">
        <v>386</v>
      </c>
      <c r="B24" s="6" t="s">
        <v>358</v>
      </c>
      <c r="C24" s="6" t="s">
        <v>387</v>
      </c>
      <c r="D24" s="6" t="s">
        <v>388</v>
      </c>
    </row>
    <row r="25" customFormat="false" ht="15" hidden="false" customHeight="false" outlineLevel="0" collapsed="false">
      <c r="A25" s="5" t="s">
        <v>389</v>
      </c>
      <c r="B25" s="6" t="s">
        <v>358</v>
      </c>
      <c r="C25" s="6" t="s">
        <v>352</v>
      </c>
      <c r="D25" s="6" t="s">
        <v>390</v>
      </c>
    </row>
    <row r="26" customFormat="false" ht="15" hidden="false" customHeight="false" outlineLevel="0" collapsed="false">
      <c r="A26" s="5" t="s">
        <v>391</v>
      </c>
      <c r="B26" s="6" t="s">
        <v>392</v>
      </c>
      <c r="C26" s="6" t="s">
        <v>393</v>
      </c>
      <c r="D26" s="6" t="s">
        <v>394</v>
      </c>
    </row>
    <row r="27" customFormat="false" ht="15" hidden="false" customHeight="false" outlineLevel="0" collapsed="false">
      <c r="A27" s="5" t="s">
        <v>395</v>
      </c>
      <c r="B27" s="6" t="s">
        <v>392</v>
      </c>
      <c r="C27" s="6" t="s">
        <v>396</v>
      </c>
      <c r="D27" s="6" t="s">
        <v>397</v>
      </c>
    </row>
    <row r="28" customFormat="false" ht="15" hidden="false" customHeight="false" outlineLevel="0" collapsed="false">
      <c r="A28" s="5" t="s">
        <v>398</v>
      </c>
      <c r="B28" s="6" t="s">
        <v>392</v>
      </c>
      <c r="C28" s="6" t="s">
        <v>384</v>
      </c>
      <c r="D28" s="6" t="s">
        <v>385</v>
      </c>
    </row>
    <row r="29" customFormat="false" ht="15" hidden="false" customHeight="false" outlineLevel="0" collapsed="false">
      <c r="A29" s="5" t="s">
        <v>399</v>
      </c>
      <c r="B29" s="6" t="s">
        <v>392</v>
      </c>
      <c r="C29" s="6" t="s">
        <v>400</v>
      </c>
      <c r="D29" s="6" t="s">
        <v>401</v>
      </c>
    </row>
    <row r="30" customFormat="false" ht="15" hidden="false" customHeight="false" outlineLevel="0" collapsed="false">
      <c r="A30" s="5" t="s">
        <v>402</v>
      </c>
      <c r="B30" s="6" t="s">
        <v>392</v>
      </c>
      <c r="C30" s="6" t="s">
        <v>403</v>
      </c>
      <c r="D30" s="6" t="s">
        <v>353</v>
      </c>
    </row>
    <row r="31" customFormat="false" ht="15" hidden="false" customHeight="false" outlineLevel="0" collapsed="false">
      <c r="A31" s="5" t="s">
        <v>404</v>
      </c>
      <c r="B31" s="6" t="s">
        <v>392</v>
      </c>
      <c r="C31" s="6" t="s">
        <v>405</v>
      </c>
      <c r="D31" s="6" t="s">
        <v>406</v>
      </c>
    </row>
    <row r="32" customFormat="false" ht="15" hidden="false" customHeight="false" outlineLevel="0" collapsed="false">
      <c r="A32" s="5" t="s">
        <v>407</v>
      </c>
      <c r="B32" s="6" t="s">
        <v>392</v>
      </c>
      <c r="C32" s="6" t="s">
        <v>384</v>
      </c>
      <c r="D32" s="6" t="s">
        <v>408</v>
      </c>
    </row>
    <row r="33" customFormat="false" ht="15" hidden="false" customHeight="false" outlineLevel="0" collapsed="false">
      <c r="A33" s="5" t="s">
        <v>409</v>
      </c>
      <c r="B33" s="6" t="s">
        <v>392</v>
      </c>
      <c r="C33" s="6" t="s">
        <v>410</v>
      </c>
      <c r="D33" s="6" t="s">
        <v>411</v>
      </c>
    </row>
    <row r="35" customFormat="false" ht="15" hidden="false" customHeight="false" outlineLevel="0" collapsed="false">
      <c r="A35" s="3" t="s">
        <v>412</v>
      </c>
    </row>
    <row r="36" customFormat="false" ht="15" hidden="false" customHeight="false" outlineLevel="0" collapsed="false">
      <c r="A36" s="4" t="s">
        <v>413</v>
      </c>
      <c r="B36" s="4" t="s">
        <v>331</v>
      </c>
      <c r="C36" s="4" t="s">
        <v>414</v>
      </c>
      <c r="D36" s="4" t="s">
        <v>160</v>
      </c>
    </row>
    <row r="37" customFormat="false" ht="15" hidden="false" customHeight="false" outlineLevel="0" collapsed="false">
      <c r="A37" s="5" t="s">
        <v>415</v>
      </c>
      <c r="B37" s="6" t="s">
        <v>358</v>
      </c>
      <c r="C37" s="6" t="s">
        <v>416</v>
      </c>
      <c r="D37" s="6" t="s">
        <v>201</v>
      </c>
    </row>
    <row r="38" customFormat="false" ht="15" hidden="false" customHeight="false" outlineLevel="0" collapsed="false">
      <c r="A38" s="5" t="s">
        <v>417</v>
      </c>
      <c r="B38" s="6" t="s">
        <v>358</v>
      </c>
      <c r="C38" s="6" t="s">
        <v>418</v>
      </c>
      <c r="D38" s="6" t="s">
        <v>419</v>
      </c>
    </row>
    <row r="39" customFormat="false" ht="15" hidden="false" customHeight="false" outlineLevel="0" collapsed="false">
      <c r="A39" s="5" t="s">
        <v>420</v>
      </c>
      <c r="B39" s="6" t="s">
        <v>358</v>
      </c>
      <c r="C39" s="6" t="s">
        <v>421</v>
      </c>
      <c r="D39" s="6" t="s">
        <v>422</v>
      </c>
    </row>
    <row r="40" customFormat="false" ht="15" hidden="false" customHeight="false" outlineLevel="0" collapsed="false">
      <c r="A40" s="5" t="s">
        <v>423</v>
      </c>
      <c r="B40" s="6" t="s">
        <v>358</v>
      </c>
      <c r="C40" s="6" t="s">
        <v>424</v>
      </c>
      <c r="D40" s="6" t="s">
        <v>373</v>
      </c>
    </row>
    <row r="41" customFormat="false" ht="15" hidden="false" customHeight="false" outlineLevel="0" collapsed="false">
      <c r="A41" s="5" t="s">
        <v>425</v>
      </c>
      <c r="B41" s="6" t="s">
        <v>392</v>
      </c>
      <c r="C41" s="6" t="s">
        <v>426</v>
      </c>
      <c r="D41" s="6" t="s">
        <v>396</v>
      </c>
    </row>
    <row r="42" customFormat="false" ht="23.85" hidden="false" customHeight="false" outlineLevel="0" collapsed="false">
      <c r="A42" s="5" t="s">
        <v>427</v>
      </c>
      <c r="B42" s="6" t="s">
        <v>392</v>
      </c>
      <c r="C42" s="6" t="s">
        <v>428</v>
      </c>
      <c r="D42" s="6" t="s">
        <v>342</v>
      </c>
    </row>
    <row r="43" customFormat="false" ht="15" hidden="false" customHeight="false" outlineLevel="0" collapsed="false">
      <c r="A43" s="5" t="s">
        <v>429</v>
      </c>
      <c r="B43" s="6" t="s">
        <v>392</v>
      </c>
      <c r="C43" s="6" t="s">
        <v>430</v>
      </c>
      <c r="D43" s="6" t="s">
        <v>431</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70"/>
    <col collapsed="false" customWidth="true" hidden="false" outlineLevel="0" max="4" min="4" style="0" width="14"/>
  </cols>
  <sheetData>
    <row r="1" customFormat="false" ht="17.35" hidden="false" customHeight="false" outlineLevel="0" collapsed="false">
      <c r="A1" s="1" t="s">
        <v>432</v>
      </c>
    </row>
    <row r="2" customFormat="false" ht="42" hidden="false" customHeight="true" outlineLevel="0" collapsed="false">
      <c r="A2" s="2" t="s">
        <v>433</v>
      </c>
      <c r="B2" s="2"/>
      <c r="C2" s="2"/>
      <c r="D2" s="2"/>
      <c r="E2" s="2"/>
      <c r="F2" s="2"/>
    </row>
    <row r="4" customFormat="false" ht="15" hidden="false" customHeight="false" outlineLevel="0" collapsed="false">
      <c r="A4" s="4" t="s">
        <v>25</v>
      </c>
      <c r="B4" s="4" t="s">
        <v>331</v>
      </c>
      <c r="C4" s="4" t="s">
        <v>434</v>
      </c>
      <c r="D4" s="4" t="s">
        <v>435</v>
      </c>
    </row>
    <row r="5" customFormat="false" ht="15" hidden="false" customHeight="false" outlineLevel="0" collapsed="false">
      <c r="A5" s="5" t="s">
        <v>436</v>
      </c>
      <c r="B5" s="6" t="s">
        <v>355</v>
      </c>
      <c r="C5" s="6" t="s">
        <v>437</v>
      </c>
      <c r="D5" s="6" t="s">
        <v>98</v>
      </c>
    </row>
    <row r="6" customFormat="false" ht="23.85" hidden="false" customHeight="false" outlineLevel="0" collapsed="false">
      <c r="A6" s="5" t="s">
        <v>436</v>
      </c>
      <c r="B6" s="6" t="s">
        <v>355</v>
      </c>
      <c r="C6" s="6" t="s">
        <v>438</v>
      </c>
      <c r="D6" s="6" t="s">
        <v>439</v>
      </c>
    </row>
    <row r="7" customFormat="false" ht="15" hidden="false" customHeight="false" outlineLevel="0" collapsed="false">
      <c r="A7" s="5" t="s">
        <v>436</v>
      </c>
      <c r="B7" s="6" t="s">
        <v>355</v>
      </c>
      <c r="C7" s="6" t="s">
        <v>440</v>
      </c>
      <c r="D7" s="6" t="s">
        <v>439</v>
      </c>
    </row>
    <row r="8" customFormat="false" ht="15" hidden="false" customHeight="false" outlineLevel="0" collapsed="false">
      <c r="A8" s="5" t="s">
        <v>436</v>
      </c>
      <c r="B8" s="6" t="s">
        <v>355</v>
      </c>
      <c r="C8" s="6" t="s">
        <v>441</v>
      </c>
      <c r="D8" s="6" t="s">
        <v>442</v>
      </c>
    </row>
    <row r="9" customFormat="false" ht="15" hidden="false" customHeight="false" outlineLevel="0" collapsed="false">
      <c r="A9" s="5" t="s">
        <v>443</v>
      </c>
      <c r="B9" s="6" t="s">
        <v>355</v>
      </c>
      <c r="C9" s="6" t="s">
        <v>444</v>
      </c>
      <c r="D9" s="6" t="s">
        <v>439</v>
      </c>
    </row>
    <row r="10" customFormat="false" ht="15" hidden="false" customHeight="false" outlineLevel="0" collapsed="false">
      <c r="A10" s="5" t="s">
        <v>445</v>
      </c>
      <c r="B10" s="6" t="s">
        <v>355</v>
      </c>
      <c r="C10" s="6" t="s">
        <v>446</v>
      </c>
      <c r="D10" s="6" t="s">
        <v>439</v>
      </c>
    </row>
    <row r="11" customFormat="false" ht="23.85" hidden="false" customHeight="false" outlineLevel="0" collapsed="false">
      <c r="A11" s="5" t="s">
        <v>445</v>
      </c>
      <c r="B11" s="6" t="s">
        <v>355</v>
      </c>
      <c r="C11" s="6" t="s">
        <v>447</v>
      </c>
      <c r="D11" s="6" t="s">
        <v>439</v>
      </c>
    </row>
    <row r="12" customFormat="false" ht="23.85" hidden="false" customHeight="false" outlineLevel="0" collapsed="false">
      <c r="A12" s="5" t="s">
        <v>445</v>
      </c>
      <c r="B12" s="6" t="s">
        <v>355</v>
      </c>
      <c r="C12" s="6" t="s">
        <v>448</v>
      </c>
      <c r="D12" s="6" t="s">
        <v>449</v>
      </c>
    </row>
    <row r="13" customFormat="false" ht="23.85" hidden="false" customHeight="false" outlineLevel="0" collapsed="false">
      <c r="A13" s="5" t="s">
        <v>445</v>
      </c>
      <c r="B13" s="6" t="s">
        <v>355</v>
      </c>
      <c r="C13" s="6" t="s">
        <v>450</v>
      </c>
      <c r="D13" s="6" t="s">
        <v>449</v>
      </c>
    </row>
    <row r="14" customFormat="false" ht="15" hidden="false" customHeight="false" outlineLevel="0" collapsed="false">
      <c r="A14" s="5" t="s">
        <v>128</v>
      </c>
      <c r="B14" s="6" t="s">
        <v>392</v>
      </c>
      <c r="C14" s="6" t="s">
        <v>451</v>
      </c>
      <c r="D14" s="6" t="s">
        <v>439</v>
      </c>
    </row>
    <row r="15" customFormat="false" ht="23.85" hidden="false" customHeight="false" outlineLevel="0" collapsed="false">
      <c r="A15" s="5" t="s">
        <v>452</v>
      </c>
      <c r="B15" s="6" t="s">
        <v>392</v>
      </c>
      <c r="C15" s="6" t="s">
        <v>453</v>
      </c>
      <c r="D15" s="6" t="s">
        <v>454</v>
      </c>
    </row>
    <row r="16" customFormat="false" ht="15" hidden="false" customHeight="false" outlineLevel="0" collapsed="false">
      <c r="A16" s="5" t="s">
        <v>124</v>
      </c>
      <c r="B16" s="6" t="s">
        <v>358</v>
      </c>
      <c r="C16" s="6" t="s">
        <v>455</v>
      </c>
      <c r="D16" s="6" t="s">
        <v>439</v>
      </c>
    </row>
    <row r="17" customFormat="false" ht="15" hidden="false" customHeight="false" outlineLevel="0" collapsed="false">
      <c r="A17" s="5" t="s">
        <v>124</v>
      </c>
      <c r="B17" s="6" t="s">
        <v>358</v>
      </c>
      <c r="C17" s="6" t="s">
        <v>456</v>
      </c>
      <c r="D17" s="6" t="s">
        <v>98</v>
      </c>
    </row>
    <row r="18" customFormat="false" ht="15" hidden="false" customHeight="false" outlineLevel="0" collapsed="false">
      <c r="A18" s="5" t="s">
        <v>457</v>
      </c>
      <c r="B18" s="6" t="s">
        <v>358</v>
      </c>
      <c r="C18" s="6" t="s">
        <v>458</v>
      </c>
      <c r="D18" s="6" t="s">
        <v>459</v>
      </c>
    </row>
    <row r="19" customFormat="false" ht="23.85" hidden="false" customHeight="false" outlineLevel="0" collapsed="false">
      <c r="A19" s="5" t="s">
        <v>457</v>
      </c>
      <c r="B19" s="6" t="s">
        <v>358</v>
      </c>
      <c r="C19" s="6" t="s">
        <v>460</v>
      </c>
      <c r="D19" s="6" t="s">
        <v>461</v>
      </c>
    </row>
    <row r="20" customFormat="false" ht="23.85" hidden="false" customHeight="false" outlineLevel="0" collapsed="false">
      <c r="A20" s="5" t="s">
        <v>457</v>
      </c>
      <c r="B20" s="6" t="s">
        <v>358</v>
      </c>
      <c r="C20" s="6" t="s">
        <v>462</v>
      </c>
      <c r="D20" s="6" t="s">
        <v>439</v>
      </c>
    </row>
    <row r="21" customFormat="false" ht="23.85" hidden="false" customHeight="false" outlineLevel="0" collapsed="false">
      <c r="A21" s="5" t="s">
        <v>463</v>
      </c>
      <c r="B21" s="6" t="s">
        <v>355</v>
      </c>
      <c r="C21" s="6" t="s">
        <v>464</v>
      </c>
      <c r="D21" s="6" t="s">
        <v>442</v>
      </c>
    </row>
    <row r="22" customFormat="false" ht="15" hidden="false" customHeight="false" outlineLevel="0" collapsed="false">
      <c r="A22" s="5" t="s">
        <v>463</v>
      </c>
      <c r="B22" s="6" t="s">
        <v>355</v>
      </c>
      <c r="C22" s="6" t="s">
        <v>465</v>
      </c>
      <c r="D22" s="6" t="s">
        <v>442</v>
      </c>
    </row>
    <row r="23" customFormat="false" ht="23.85" hidden="false" customHeight="false" outlineLevel="0" collapsed="false">
      <c r="A23" s="5" t="s">
        <v>463</v>
      </c>
      <c r="B23" s="6" t="s">
        <v>358</v>
      </c>
      <c r="C23" s="6" t="s">
        <v>466</v>
      </c>
      <c r="D23" s="6" t="s">
        <v>442</v>
      </c>
    </row>
    <row r="24" customFormat="false" ht="23.85" hidden="false" customHeight="false" outlineLevel="0" collapsed="false">
      <c r="A24" s="5" t="s">
        <v>467</v>
      </c>
      <c r="B24" s="6" t="s">
        <v>358</v>
      </c>
      <c r="C24" s="6" t="s">
        <v>468</v>
      </c>
      <c r="D24" s="6" t="s">
        <v>442</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5"/>
    <col collapsed="false" customWidth="true" hidden="false" outlineLevel="0" max="3" min="3" style="0" width="60"/>
  </cols>
  <sheetData>
    <row r="1" customFormat="false" ht="17.35" hidden="false" customHeight="false" outlineLevel="0" collapsed="false">
      <c r="A1" s="1" t="s">
        <v>469</v>
      </c>
    </row>
    <row r="2" customFormat="false" ht="27.75" hidden="false" customHeight="true" outlineLevel="0" collapsed="false">
      <c r="A2" s="2" t="s">
        <v>470</v>
      </c>
      <c r="B2" s="2"/>
      <c r="C2" s="2"/>
      <c r="D2" s="2"/>
      <c r="E2" s="2"/>
      <c r="F2" s="2"/>
    </row>
    <row r="4" customFormat="false" ht="15" hidden="false" customHeight="false" outlineLevel="0" collapsed="false">
      <c r="A4" s="4" t="s">
        <v>471</v>
      </c>
      <c r="B4" s="4" t="s">
        <v>368</v>
      </c>
      <c r="C4" s="4" t="s">
        <v>472</v>
      </c>
    </row>
    <row r="5" customFormat="false" ht="23.85" hidden="false" customHeight="false" outlineLevel="0" collapsed="false">
      <c r="A5" s="5" t="s">
        <v>473</v>
      </c>
      <c r="B5" s="6" t="s">
        <v>474</v>
      </c>
      <c r="C5" s="6" t="s">
        <v>475</v>
      </c>
    </row>
    <row r="6" customFormat="false" ht="23.85" hidden="false" customHeight="false" outlineLevel="0" collapsed="false">
      <c r="A6" s="5" t="s">
        <v>128</v>
      </c>
      <c r="B6" s="6" t="s">
        <v>476</v>
      </c>
      <c r="C6" s="6" t="s">
        <v>477</v>
      </c>
    </row>
    <row r="7" customFormat="false" ht="23.85" hidden="false" customHeight="false" outlineLevel="0" collapsed="false">
      <c r="A7" s="5" t="s">
        <v>124</v>
      </c>
      <c r="B7" s="6" t="s">
        <v>478</v>
      </c>
      <c r="C7" s="6" t="s">
        <v>479</v>
      </c>
    </row>
    <row r="8" customFormat="false" ht="15" hidden="false" customHeight="false" outlineLevel="0" collapsed="false">
      <c r="A8" s="5" t="s">
        <v>480</v>
      </c>
      <c r="B8" s="6" t="s">
        <v>481</v>
      </c>
      <c r="C8" s="6" t="s">
        <v>482</v>
      </c>
    </row>
    <row r="9" customFormat="false" ht="15" hidden="false" customHeight="false" outlineLevel="0" collapsed="false">
      <c r="A9" s="5" t="s">
        <v>483</v>
      </c>
      <c r="B9" s="6" t="s">
        <v>484</v>
      </c>
      <c r="C9" s="6" t="s">
        <v>485</v>
      </c>
    </row>
    <row r="10" customFormat="false" ht="15" hidden="false" customHeight="false" outlineLevel="0" collapsed="false">
      <c r="A10" s="5" t="s">
        <v>486</v>
      </c>
      <c r="B10" s="6" t="s">
        <v>487</v>
      </c>
      <c r="C10" s="6" t="s">
        <v>488</v>
      </c>
    </row>
    <row r="11" customFormat="false" ht="15" hidden="false" customHeight="false" outlineLevel="0" collapsed="false">
      <c r="A11" s="5" t="s">
        <v>489</v>
      </c>
      <c r="B11" s="6" t="s">
        <v>490</v>
      </c>
      <c r="C11" s="6" t="s">
        <v>491</v>
      </c>
    </row>
    <row r="12" customFormat="false" ht="23.85" hidden="false" customHeight="false" outlineLevel="0" collapsed="false">
      <c r="A12" s="5" t="s">
        <v>492</v>
      </c>
      <c r="B12" s="6" t="s">
        <v>493</v>
      </c>
      <c r="C12" s="6" t="s">
        <v>494</v>
      </c>
    </row>
    <row r="14" customFormat="false" ht="15" hidden="false" customHeight="false" outlineLevel="0" collapsed="false">
      <c r="A14" s="3" t="s">
        <v>495</v>
      </c>
    </row>
    <row r="15" customFormat="false" ht="15" hidden="false" customHeight="false" outlineLevel="0" collapsed="false">
      <c r="A15" s="4" t="s">
        <v>496</v>
      </c>
      <c r="B15" s="4" t="s">
        <v>414</v>
      </c>
      <c r="C15" s="4" t="s">
        <v>497</v>
      </c>
    </row>
    <row r="16" customFormat="false" ht="15" hidden="false" customHeight="false" outlineLevel="0" collapsed="false">
      <c r="A16" s="5" t="s">
        <v>498</v>
      </c>
      <c r="B16" s="6" t="s">
        <v>499</v>
      </c>
      <c r="C16" s="6" t="s">
        <v>500</v>
      </c>
    </row>
    <row r="17" customFormat="false" ht="15" hidden="false" customHeight="false" outlineLevel="0" collapsed="false">
      <c r="A17" s="5" t="s">
        <v>501</v>
      </c>
      <c r="B17" s="6" t="s">
        <v>502</v>
      </c>
      <c r="C17" s="6" t="s">
        <v>503</v>
      </c>
    </row>
    <row r="18" customFormat="false" ht="15" hidden="false" customHeight="false" outlineLevel="0" collapsed="false">
      <c r="A18" s="5" t="s">
        <v>504</v>
      </c>
      <c r="B18" s="6" t="s">
        <v>505</v>
      </c>
      <c r="C18" s="6" t="s">
        <v>506</v>
      </c>
    </row>
    <row r="19" customFormat="false" ht="15" hidden="false" customHeight="false" outlineLevel="0" collapsed="false">
      <c r="A19" s="5" t="s">
        <v>507</v>
      </c>
      <c r="B19" s="6" t="s">
        <v>508</v>
      </c>
      <c r="C19" s="6" t="s">
        <v>509</v>
      </c>
    </row>
    <row r="21" customFormat="false" ht="15" hidden="false" customHeight="false" outlineLevel="0" collapsed="false">
      <c r="A21" s="3" t="s">
        <v>510</v>
      </c>
    </row>
    <row r="22" customFormat="false" ht="15" hidden="false" customHeight="false" outlineLevel="0" collapsed="false">
      <c r="A22" s="4" t="s">
        <v>471</v>
      </c>
      <c r="B22" s="4" t="s">
        <v>368</v>
      </c>
      <c r="C22" s="4" t="s">
        <v>472</v>
      </c>
    </row>
    <row r="23" customFormat="false" ht="15" hidden="false" customHeight="false" outlineLevel="0" collapsed="false">
      <c r="A23" s="5" t="s">
        <v>511</v>
      </c>
      <c r="B23" s="6" t="s">
        <v>512</v>
      </c>
      <c r="C23" s="6" t="s">
        <v>512</v>
      </c>
    </row>
    <row r="24" customFormat="false" ht="23.85" hidden="false" customHeight="false" outlineLevel="0" collapsed="false">
      <c r="A24" s="5" t="s">
        <v>513</v>
      </c>
      <c r="B24" s="6" t="s">
        <v>514</v>
      </c>
      <c r="C24" s="6" t="s">
        <v>515</v>
      </c>
    </row>
    <row r="25" customFormat="false" ht="15" hidden="false" customHeight="false" outlineLevel="0" collapsed="false">
      <c r="A25" s="5" t="s">
        <v>516</v>
      </c>
      <c r="B25" s="6" t="s">
        <v>517</v>
      </c>
      <c r="C25" s="6" t="s">
        <v>518</v>
      </c>
    </row>
    <row r="26" customFormat="false" ht="15" hidden="false" customHeight="false" outlineLevel="0" collapsed="false">
      <c r="A26" s="5" t="s">
        <v>519</v>
      </c>
      <c r="B26" s="6" t="s">
        <v>520</v>
      </c>
      <c r="C26" s="6" t="s">
        <v>521</v>
      </c>
    </row>
    <row r="27" customFormat="false" ht="15" hidden="false" customHeight="false" outlineLevel="0" collapsed="false">
      <c r="A27" s="5" t="s">
        <v>522</v>
      </c>
      <c r="B27" s="6" t="s">
        <v>523</v>
      </c>
      <c r="C27" s="6" t="s">
        <v>524</v>
      </c>
    </row>
    <row r="28" customFormat="false" ht="15" hidden="false" customHeight="false" outlineLevel="0" collapsed="false">
      <c r="A28" s="5" t="s">
        <v>525</v>
      </c>
      <c r="B28" s="6" t="s">
        <v>526</v>
      </c>
      <c r="C28" s="6" t="s">
        <v>526</v>
      </c>
    </row>
    <row r="29" customFormat="false" ht="15" hidden="false" customHeight="false" outlineLevel="0" collapsed="false">
      <c r="A29" s="5" t="s">
        <v>527</v>
      </c>
      <c r="B29" s="6" t="s">
        <v>528</v>
      </c>
      <c r="C29" s="6" t="s">
        <v>518</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4"/>
    <col collapsed="false" customWidth="true" hidden="false" outlineLevel="0" max="5" min="4" style="0" width="16"/>
    <col collapsed="false" customWidth="true" hidden="false" outlineLevel="0" max="6" min="6" style="0" width="18"/>
    <col collapsed="false" customWidth="true" hidden="false" outlineLevel="0" max="7" min="7" style="0" width="22"/>
  </cols>
  <sheetData>
    <row r="1" customFormat="false" ht="17.35" hidden="false" customHeight="false" outlineLevel="0" collapsed="false">
      <c r="A1" s="1" t="s">
        <v>529</v>
      </c>
    </row>
    <row r="2" customFormat="false" ht="42" hidden="false" customHeight="true" outlineLevel="0" collapsed="false">
      <c r="A2" s="2" t="s">
        <v>530</v>
      </c>
      <c r="B2" s="2"/>
      <c r="C2" s="2"/>
      <c r="D2" s="2"/>
      <c r="E2" s="2"/>
      <c r="F2" s="2"/>
    </row>
    <row r="5" customFormat="false" ht="15" hidden="false" customHeight="false" outlineLevel="0" collapsed="false">
      <c r="A5" s="3" t="s">
        <v>531</v>
      </c>
    </row>
    <row r="6" customFormat="false" ht="23.85" hidden="false" customHeight="false" outlineLevel="0" collapsed="false">
      <c r="A6" s="4" t="s">
        <v>532</v>
      </c>
      <c r="B6" s="4" t="s">
        <v>533</v>
      </c>
      <c r="C6" s="4" t="s">
        <v>534</v>
      </c>
      <c r="D6" s="4" t="s">
        <v>535</v>
      </c>
      <c r="E6" s="4" t="s">
        <v>536</v>
      </c>
      <c r="F6" s="4" t="s">
        <v>537</v>
      </c>
      <c r="G6" s="4" t="s">
        <v>538</v>
      </c>
    </row>
    <row r="7" customFormat="false" ht="15" hidden="false" customHeight="false" outlineLevel="0" collapsed="false">
      <c r="A7" s="5" t="s">
        <v>539</v>
      </c>
      <c r="B7" s="6" t="n">
        <v>10</v>
      </c>
      <c r="C7" s="13" t="n">
        <v>131</v>
      </c>
      <c r="D7" s="13" t="n">
        <v>802</v>
      </c>
      <c r="E7" s="13" t="n">
        <v>884</v>
      </c>
      <c r="F7" s="13" t="n">
        <f aca="false">D7+E7</f>
        <v>1686</v>
      </c>
      <c r="G7" s="14" t="n">
        <f aca="false">F7/F7</f>
        <v>1</v>
      </c>
    </row>
    <row r="8" customFormat="false" ht="15" hidden="false" customHeight="false" outlineLevel="0" collapsed="false">
      <c r="A8" s="5" t="s">
        <v>540</v>
      </c>
      <c r="B8" s="6" t="n">
        <v>10</v>
      </c>
      <c r="C8" s="13" t="n">
        <v>106</v>
      </c>
      <c r="D8" s="13" t="n">
        <v>1017</v>
      </c>
      <c r="E8" s="13" t="n">
        <v>673</v>
      </c>
      <c r="F8" s="13" t="n">
        <f aca="false">D8+E8</f>
        <v>1690</v>
      </c>
      <c r="G8" s="14" t="n">
        <f aca="false">F8/F7</f>
        <v>1.00237247924081</v>
      </c>
    </row>
    <row r="9" customFormat="false" ht="15" hidden="false" customHeight="false" outlineLevel="0" collapsed="false">
      <c r="A9" s="5" t="s">
        <v>541</v>
      </c>
      <c r="B9" s="6" t="n">
        <v>10</v>
      </c>
      <c r="C9" s="13" t="n">
        <v>367</v>
      </c>
      <c r="D9" s="13" t="n">
        <v>3282</v>
      </c>
      <c r="E9" s="13" t="n">
        <v>5169</v>
      </c>
      <c r="F9" s="13" t="n">
        <f aca="false">D9+E9</f>
        <v>8451</v>
      </c>
      <c r="G9" s="14" t="n">
        <f aca="false">F9/F7</f>
        <v>5.01245551601424</v>
      </c>
    </row>
    <row r="10" customFormat="false" ht="15" hidden="false" customHeight="false" outlineLevel="0" collapsed="false">
      <c r="A10" s="5" t="s">
        <v>542</v>
      </c>
      <c r="B10" s="6" t="n">
        <v>10</v>
      </c>
      <c r="C10" s="13" t="n">
        <v>244</v>
      </c>
      <c r="D10" s="13" t="n">
        <v>1220</v>
      </c>
      <c r="E10" s="13" t="n">
        <v>3045</v>
      </c>
      <c r="F10" s="13" t="n">
        <f aca="false">D10+E10</f>
        <v>4265</v>
      </c>
      <c r="G10" s="14" t="n">
        <f aca="false">F10/F7</f>
        <v>2.52965599051008</v>
      </c>
    </row>
    <row r="11" customFormat="false" ht="15" hidden="false" customHeight="false" outlineLevel="0" collapsed="false">
      <c r="A11" s="5" t="s">
        <v>539</v>
      </c>
      <c r="B11" s="6" t="n">
        <v>1000</v>
      </c>
      <c r="C11" s="13" t="n">
        <v>133</v>
      </c>
      <c r="D11" s="13" t="n">
        <v>855</v>
      </c>
      <c r="E11" s="13" t="n">
        <v>962</v>
      </c>
      <c r="F11" s="13" t="n">
        <f aca="false">D11+E11</f>
        <v>1817</v>
      </c>
      <c r="G11" s="14" t="n">
        <f aca="false">F11/F11</f>
        <v>1</v>
      </c>
    </row>
    <row r="12" customFormat="false" ht="15" hidden="false" customHeight="false" outlineLevel="0" collapsed="false">
      <c r="A12" s="5" t="s">
        <v>540</v>
      </c>
      <c r="B12" s="6" t="n">
        <v>1000</v>
      </c>
      <c r="C12" s="13" t="n">
        <v>107</v>
      </c>
      <c r="D12" s="13" t="n">
        <v>1021</v>
      </c>
      <c r="E12" s="13" t="n">
        <v>708</v>
      </c>
      <c r="F12" s="13" t="n">
        <f aca="false">D12+E12</f>
        <v>1729</v>
      </c>
      <c r="G12" s="14" t="n">
        <f aca="false">F12/F11</f>
        <v>0.9515685195377</v>
      </c>
    </row>
    <row r="13" customFormat="false" ht="15" hidden="false" customHeight="false" outlineLevel="0" collapsed="false">
      <c r="A13" s="5" t="s">
        <v>541</v>
      </c>
      <c r="B13" s="6" t="n">
        <v>1000</v>
      </c>
      <c r="C13" s="13" t="n">
        <v>368</v>
      </c>
      <c r="D13" s="13" t="n">
        <v>5274</v>
      </c>
      <c r="E13" s="13" t="n">
        <v>7570</v>
      </c>
      <c r="F13" s="13" t="n">
        <f aca="false">D13+E13</f>
        <v>12844</v>
      </c>
      <c r="G13" s="14" t="n">
        <f aca="false">F13/F11</f>
        <v>7.06879471656577</v>
      </c>
    </row>
    <row r="14" customFormat="false" ht="15" hidden="false" customHeight="false" outlineLevel="0" collapsed="false">
      <c r="A14" s="5" t="s">
        <v>542</v>
      </c>
      <c r="B14" s="6" t="n">
        <v>1000</v>
      </c>
      <c r="C14" s="13" t="n">
        <v>245</v>
      </c>
      <c r="D14" s="13" t="n">
        <v>1689</v>
      </c>
      <c r="E14" s="13" t="n">
        <v>3777</v>
      </c>
      <c r="F14" s="13" t="n">
        <f aca="false">D14+E14</f>
        <v>5466</v>
      </c>
      <c r="G14" s="14" t="n">
        <f aca="false">F14/F11</f>
        <v>3.00825536598789</v>
      </c>
    </row>
    <row r="15" customFormat="false" ht="13.5" hidden="false" customHeight="true" outlineLevel="0" collapsed="false">
      <c r="A15" s="2" t="s">
        <v>543</v>
      </c>
      <c r="B15" s="2"/>
      <c r="C15" s="2"/>
      <c r="D15" s="2"/>
      <c r="E15" s="2"/>
      <c r="F15" s="2"/>
      <c r="G15" s="2"/>
    </row>
    <row r="17" customFormat="false" ht="15" hidden="false" customHeight="false" outlineLevel="0" collapsed="false">
      <c r="A17" s="3" t="s">
        <v>544</v>
      </c>
    </row>
    <row r="18" customFormat="false" ht="15" hidden="false" customHeight="false" outlineLevel="0" collapsed="false">
      <c r="A18" s="4" t="s">
        <v>545</v>
      </c>
      <c r="B18" s="4" t="s">
        <v>546</v>
      </c>
      <c r="C18" s="4" t="s">
        <v>547</v>
      </c>
      <c r="D18" s="4" t="s">
        <v>548</v>
      </c>
    </row>
    <row r="19" customFormat="false" ht="15" hidden="false" customHeight="false" outlineLevel="0" collapsed="false">
      <c r="A19" s="5" t="s">
        <v>549</v>
      </c>
      <c r="B19" s="15" t="n">
        <v>363.4</v>
      </c>
      <c r="C19" s="15" t="n">
        <v>283</v>
      </c>
      <c r="D19" s="15" t="n">
        <v>2643.7</v>
      </c>
    </row>
    <row r="20" customFormat="false" ht="15" hidden="false" customHeight="false" outlineLevel="0" collapsed="false">
      <c r="A20" s="5" t="s">
        <v>550</v>
      </c>
      <c r="B20" s="15" t="n">
        <v>280.2</v>
      </c>
      <c r="C20" s="15" t="n">
        <v>268.2</v>
      </c>
      <c r="D20" s="15" t="n">
        <v>631.6</v>
      </c>
    </row>
    <row r="21" customFormat="false" ht="15" hidden="false" customHeight="false" outlineLevel="0" collapsed="false">
      <c r="A21" s="5" t="s">
        <v>551</v>
      </c>
      <c r="B21" s="15" t="n">
        <v>428.6</v>
      </c>
      <c r="C21" s="15" t="n">
        <v>395.5</v>
      </c>
      <c r="D21" s="15" t="n">
        <v>909.1</v>
      </c>
    </row>
    <row r="22" customFormat="false" ht="15" hidden="false" customHeight="false" outlineLevel="0" collapsed="false">
      <c r="A22" s="5" t="s">
        <v>552</v>
      </c>
      <c r="B22" s="15" t="n">
        <v>357.8</v>
      </c>
      <c r="C22" s="15" t="n">
        <v>330.6</v>
      </c>
      <c r="D22" s="15" t="n">
        <v>755.8</v>
      </c>
    </row>
    <row r="23" customFormat="false" ht="15" hidden="false" customHeight="false" outlineLevel="0" collapsed="false">
      <c r="A23" s="5" t="s">
        <v>553</v>
      </c>
      <c r="B23" s="15" t="n">
        <v>174</v>
      </c>
      <c r="C23" s="15" t="n">
        <v>166.8</v>
      </c>
      <c r="D23" s="15" t="n">
        <v>443.6</v>
      </c>
    </row>
    <row r="24" customFormat="false" ht="15" hidden="false" customHeight="false" outlineLevel="0" collapsed="false">
      <c r="A24" s="5" t="s">
        <v>554</v>
      </c>
      <c r="B24" s="15" t="n">
        <v>159.4</v>
      </c>
      <c r="C24" s="15" t="n">
        <v>154.3</v>
      </c>
      <c r="D24" s="15" t="n">
        <v>392.8</v>
      </c>
    </row>
    <row r="25" customFormat="false" ht="15" hidden="false" customHeight="false" outlineLevel="0" collapsed="false">
      <c r="A25" s="5" t="s">
        <v>555</v>
      </c>
      <c r="B25" s="15" t="n">
        <v>304.5</v>
      </c>
      <c r="C25" s="15" t="n">
        <v>280</v>
      </c>
      <c r="D25" s="15" t="n">
        <v>801.2</v>
      </c>
    </row>
    <row r="26" customFormat="false" ht="15" hidden="false" customHeight="false" outlineLevel="0" collapsed="false">
      <c r="A26" s="5" t="s">
        <v>556</v>
      </c>
      <c r="B26" s="15" t="n">
        <v>238.3</v>
      </c>
      <c r="C26" s="15" t="n">
        <v>217.4</v>
      </c>
      <c r="D26" s="15" t="n">
        <v>503</v>
      </c>
    </row>
    <row r="28" customFormat="false" ht="15" hidden="false" customHeight="false" outlineLevel="0" collapsed="false">
      <c r="A28" s="3" t="s">
        <v>557</v>
      </c>
    </row>
    <row r="29" customFormat="false" ht="23.85" hidden="false" customHeight="false" outlineLevel="0" collapsed="false">
      <c r="A29" s="4" t="s">
        <v>545</v>
      </c>
      <c r="B29" s="4" t="s">
        <v>558</v>
      </c>
      <c r="C29" s="4" t="s">
        <v>559</v>
      </c>
      <c r="D29" s="4" t="s">
        <v>560</v>
      </c>
    </row>
    <row r="30" customFormat="false" ht="15" hidden="false" customHeight="false" outlineLevel="0" collapsed="false">
      <c r="A30" s="5" t="s">
        <v>549</v>
      </c>
      <c r="B30" s="13" t="n">
        <v>2699</v>
      </c>
      <c r="C30" s="13" t="n">
        <f aca="false">B30*100</f>
        <v>269900</v>
      </c>
      <c r="D30" s="14" t="n">
        <f aca="false">B30/B30</f>
        <v>1</v>
      </c>
    </row>
    <row r="31" customFormat="false" ht="15" hidden="false" customHeight="false" outlineLevel="0" collapsed="false">
      <c r="A31" s="5" t="s">
        <v>550</v>
      </c>
      <c r="B31" s="13" t="n">
        <v>4367</v>
      </c>
      <c r="C31" s="13" t="n">
        <f aca="false">B31*100</f>
        <v>436700</v>
      </c>
      <c r="D31" s="14" t="n">
        <f aca="false">B31/B30</f>
        <v>1.61800666913672</v>
      </c>
    </row>
    <row r="32" customFormat="false" ht="15" hidden="false" customHeight="false" outlineLevel="0" collapsed="false">
      <c r="A32" s="5" t="s">
        <v>551</v>
      </c>
      <c r="B32" s="13" t="n">
        <v>1028</v>
      </c>
      <c r="C32" s="13" t="n">
        <f aca="false">B32*100</f>
        <v>102800</v>
      </c>
      <c r="D32" s="14" t="n">
        <f aca="false">B32/B30</f>
        <v>0.380881808077066</v>
      </c>
    </row>
    <row r="33" customFormat="false" ht="15" hidden="false" customHeight="false" outlineLevel="0" collapsed="false">
      <c r="A33" s="5" t="s">
        <v>552</v>
      </c>
      <c r="B33" s="13" t="n">
        <v>1735</v>
      </c>
      <c r="C33" s="13" t="n">
        <f aca="false">B33*100</f>
        <v>173500</v>
      </c>
      <c r="D33" s="14" t="n">
        <f aca="false">B33/B30</f>
        <v>0.6428306780289</v>
      </c>
    </row>
    <row r="34" customFormat="false" ht="15" hidden="false" customHeight="false" outlineLevel="0" collapsed="false">
      <c r="A34" s="5" t="s">
        <v>553</v>
      </c>
      <c r="B34" s="13" t="n">
        <v>4223</v>
      </c>
      <c r="C34" s="13" t="n">
        <f aca="false">B34*100</f>
        <v>422300</v>
      </c>
      <c r="D34" s="14" t="n">
        <f aca="false">B34/B30</f>
        <v>1.5646535753983</v>
      </c>
    </row>
    <row r="35" customFormat="false" ht="15" hidden="false" customHeight="false" outlineLevel="0" collapsed="false">
      <c r="A35" s="5" t="s">
        <v>554</v>
      </c>
      <c r="B35" s="13" t="n">
        <v>5351</v>
      </c>
      <c r="C35" s="13" t="n">
        <f aca="false">B35*100</f>
        <v>535100</v>
      </c>
      <c r="D35" s="14" t="n">
        <f aca="false">B35/B30</f>
        <v>1.98258614301593</v>
      </c>
    </row>
    <row r="36" customFormat="false" ht="15" hidden="false" customHeight="false" outlineLevel="0" collapsed="false">
      <c r="A36" s="5" t="s">
        <v>555</v>
      </c>
      <c r="B36" s="13" t="n">
        <v>1156</v>
      </c>
      <c r="C36" s="13" t="n">
        <f aca="false">B36*100</f>
        <v>115600</v>
      </c>
      <c r="D36" s="14" t="n">
        <f aca="false">B36/B30</f>
        <v>0.428306780288996</v>
      </c>
    </row>
    <row r="37" customFormat="false" ht="15" hidden="false" customHeight="false" outlineLevel="0" collapsed="false">
      <c r="A37" s="5" t="s">
        <v>556</v>
      </c>
      <c r="B37" s="13" t="n">
        <v>1977</v>
      </c>
      <c r="C37" s="13" t="n">
        <f aca="false">B37*100</f>
        <v>197700</v>
      </c>
      <c r="D37" s="14" t="n">
        <f aca="false">B37/B30</f>
        <v>0.73249351611708</v>
      </c>
    </row>
    <row r="38" customFormat="false" ht="13.5" hidden="false" customHeight="true" outlineLevel="0" collapsed="false">
      <c r="A38" s="2" t="s">
        <v>561</v>
      </c>
      <c r="B38" s="2"/>
      <c r="C38" s="2"/>
      <c r="D38" s="2"/>
      <c r="E38" s="2"/>
      <c r="F38" s="2"/>
      <c r="G38" s="2"/>
    </row>
    <row r="40" customFormat="false" ht="15" hidden="false" customHeight="false" outlineLevel="0" collapsed="false">
      <c r="A40" s="3" t="s">
        <v>562</v>
      </c>
    </row>
    <row r="41" customFormat="false" ht="15" hidden="false" customHeight="false" outlineLevel="0" collapsed="false">
      <c r="A41" s="4" t="s">
        <v>545</v>
      </c>
      <c r="B41" s="4" t="s">
        <v>563</v>
      </c>
      <c r="C41" s="4" t="s">
        <v>559</v>
      </c>
      <c r="D41" s="4" t="s">
        <v>564</v>
      </c>
      <c r="E41" s="4" t="s">
        <v>565</v>
      </c>
      <c r="F41" s="4" t="s">
        <v>560</v>
      </c>
    </row>
    <row r="42" customFormat="false" ht="15" hidden="false" customHeight="false" outlineLevel="0" collapsed="false">
      <c r="A42" s="5" t="s">
        <v>549</v>
      </c>
      <c r="B42" s="13" t="n">
        <v>513</v>
      </c>
      <c r="C42" s="13" t="n">
        <f aca="false">200000*1000/B42</f>
        <v>389863.547758285</v>
      </c>
      <c r="D42" s="15" t="n">
        <v>26.6</v>
      </c>
      <c r="E42" s="15" t="n">
        <f aca="false">D42*1000/B42</f>
        <v>51.8518518518519</v>
      </c>
      <c r="F42" s="14" t="n">
        <f aca="false">B42/B42</f>
        <v>1</v>
      </c>
    </row>
    <row r="43" customFormat="false" ht="15" hidden="false" customHeight="false" outlineLevel="0" collapsed="false">
      <c r="A43" s="5" t="s">
        <v>550</v>
      </c>
      <c r="B43" s="13" t="n">
        <v>325</v>
      </c>
      <c r="C43" s="13" t="n">
        <f aca="false">200000*1000/B43</f>
        <v>615384.615384615</v>
      </c>
      <c r="D43" s="15" t="n">
        <v>21.4</v>
      </c>
      <c r="E43" s="15" t="n">
        <f aca="false">D43*1000/B43</f>
        <v>65.8461538461538</v>
      </c>
      <c r="F43" s="14" t="n">
        <f aca="false">B42/B43</f>
        <v>1.57846153846154</v>
      </c>
    </row>
    <row r="44" customFormat="false" ht="15" hidden="false" customHeight="false" outlineLevel="0" collapsed="false">
      <c r="A44" s="5" t="s">
        <v>551</v>
      </c>
      <c r="B44" s="13" t="n">
        <v>1617</v>
      </c>
      <c r="C44" s="13" t="n">
        <f aca="false">200000*1000/B44</f>
        <v>123685.837971552</v>
      </c>
      <c r="D44" s="15" t="n">
        <v>73.7</v>
      </c>
      <c r="E44" s="15" t="n">
        <f aca="false">D44*1000/B44</f>
        <v>45.578231292517</v>
      </c>
      <c r="F44" s="14" t="n">
        <f aca="false">B42/B44</f>
        <v>0.317254174397032</v>
      </c>
    </row>
    <row r="45" customFormat="false" ht="15" hidden="false" customHeight="false" outlineLevel="0" collapsed="false">
      <c r="A45" s="5" t="s">
        <v>552</v>
      </c>
      <c r="B45" s="13" t="n">
        <v>790</v>
      </c>
      <c r="C45" s="13" t="n">
        <f aca="false">200000*1000/B45</f>
        <v>253164.556962025</v>
      </c>
      <c r="D45" s="15" t="n">
        <v>49</v>
      </c>
      <c r="E45" s="15" t="n">
        <f aca="false">D45*1000/B45</f>
        <v>62.0253164556962</v>
      </c>
      <c r="F45" s="14" t="n">
        <f aca="false">B42/B45</f>
        <v>0.649367088607595</v>
      </c>
    </row>
    <row r="46" customFormat="false" ht="15" hidden="false" customHeight="false" outlineLevel="0" collapsed="false">
      <c r="A46" s="5" t="s">
        <v>553</v>
      </c>
      <c r="B46" s="13" t="n">
        <v>447</v>
      </c>
      <c r="C46" s="13" t="n">
        <f aca="false">200000*1000/B46</f>
        <v>447427.293064877</v>
      </c>
      <c r="D46" s="15" t="n">
        <v>26.6</v>
      </c>
      <c r="E46" s="15" t="n">
        <f aca="false">D46*1000/B46</f>
        <v>59.5078299776286</v>
      </c>
      <c r="F46" s="14" t="n">
        <f aca="false">B42/B46</f>
        <v>1.14765100671141</v>
      </c>
    </row>
    <row r="47" customFormat="false" ht="15" hidden="false" customHeight="false" outlineLevel="0" collapsed="false">
      <c r="A47" s="5" t="s">
        <v>554</v>
      </c>
      <c r="B47" s="13" t="n">
        <v>347</v>
      </c>
      <c r="C47" s="13" t="n">
        <f aca="false">200000*1000/B47</f>
        <v>576368.876080692</v>
      </c>
      <c r="D47" s="15" t="n">
        <v>21.4</v>
      </c>
      <c r="E47" s="15" t="n">
        <f aca="false">D47*1000/B47</f>
        <v>61.671469740634</v>
      </c>
      <c r="F47" s="14" t="n">
        <f aca="false">B42/B47</f>
        <v>1.47838616714697</v>
      </c>
    </row>
    <row r="48" customFormat="false" ht="15" hidden="false" customHeight="false" outlineLevel="0" collapsed="false">
      <c r="A48" s="5" t="s">
        <v>555</v>
      </c>
      <c r="B48" s="13" t="n">
        <v>1721</v>
      </c>
      <c r="C48" s="13" t="n">
        <f aca="false">200000*1000/B48</f>
        <v>116211.504938989</v>
      </c>
      <c r="D48" s="15" t="n">
        <v>73.7</v>
      </c>
      <c r="E48" s="15" t="n">
        <f aca="false">D48*1000/B48</f>
        <v>42.8239395700174</v>
      </c>
      <c r="F48" s="14" t="n">
        <f aca="false">B42/B48</f>
        <v>0.298082510168507</v>
      </c>
    </row>
    <row r="49" customFormat="false" ht="15" hidden="false" customHeight="false" outlineLevel="0" collapsed="false">
      <c r="A49" s="5" t="s">
        <v>556</v>
      </c>
      <c r="B49" s="13" t="n">
        <v>880</v>
      </c>
      <c r="C49" s="13" t="n">
        <f aca="false">200000*1000/B49</f>
        <v>227272.727272727</v>
      </c>
      <c r="D49" s="15" t="n">
        <v>49</v>
      </c>
      <c r="E49" s="15" t="n">
        <f aca="false">D49*1000/B49</f>
        <v>55.6818181818182</v>
      </c>
      <c r="F49" s="14" t="n">
        <f aca="false">B42/B49</f>
        <v>0.582954545454546</v>
      </c>
    </row>
    <row r="50" customFormat="false" ht="13.5" hidden="false" customHeight="true" outlineLevel="0" collapsed="false">
      <c r="A50" s="2" t="s">
        <v>566</v>
      </c>
      <c r="B50" s="2"/>
      <c r="C50" s="2"/>
      <c r="D50" s="2"/>
      <c r="E50" s="2"/>
      <c r="F50" s="2"/>
      <c r="G50" s="2"/>
    </row>
    <row r="52" customFormat="false" ht="15" hidden="false" customHeight="false" outlineLevel="0" collapsed="false">
      <c r="A52" s="3" t="s">
        <v>567</v>
      </c>
    </row>
    <row r="53" customFormat="false" ht="15" hidden="false" customHeight="false" outlineLevel="0" collapsed="false">
      <c r="A53" s="4" t="s">
        <v>68</v>
      </c>
      <c r="B53" s="4" t="s">
        <v>568</v>
      </c>
    </row>
    <row r="54" customFormat="false" ht="135.8" hidden="false" customHeight="false" outlineLevel="0" collapsed="false">
      <c r="A54" s="5" t="n">
        <v>1</v>
      </c>
      <c r="B54" s="6" t="s">
        <v>569</v>
      </c>
    </row>
    <row r="55" customFormat="false" ht="147" hidden="false" customHeight="false" outlineLevel="0" collapsed="false">
      <c r="A55" s="5" t="n">
        <v>2</v>
      </c>
      <c r="B55" s="6" t="s">
        <v>570</v>
      </c>
    </row>
    <row r="56" customFormat="false" ht="124.6" hidden="false" customHeight="false" outlineLevel="0" collapsed="false">
      <c r="A56" s="5" t="n">
        <v>3</v>
      </c>
      <c r="B56" s="6" t="s">
        <v>571</v>
      </c>
    </row>
    <row r="57" customFormat="false" ht="124.6" hidden="false" customHeight="false" outlineLevel="0" collapsed="false">
      <c r="A57" s="5" t="n">
        <v>4</v>
      </c>
      <c r="B57" s="6" t="s">
        <v>572</v>
      </c>
    </row>
    <row r="58" customFormat="false" ht="169.4" hidden="false" customHeight="false" outlineLevel="0" collapsed="false">
      <c r="A58" s="5" t="n">
        <v>5</v>
      </c>
      <c r="B58" s="6" t="s">
        <v>573</v>
      </c>
    </row>
  </sheetData>
  <mergeCells count="4">
    <mergeCell ref="A2:F2"/>
    <mergeCell ref="A15:G15"/>
    <mergeCell ref="A38:G38"/>
    <mergeCell ref="A50:G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0"/>
  </cols>
  <sheetData>
    <row r="1" customFormat="false" ht="17.35" hidden="false" customHeight="false" outlineLevel="0" collapsed="false">
      <c r="A1" s="1" t="s">
        <v>574</v>
      </c>
    </row>
    <row r="2" customFormat="false" ht="27.75" hidden="false" customHeight="true" outlineLevel="0" collapsed="false">
      <c r="A2" s="2" t="s">
        <v>575</v>
      </c>
      <c r="B2" s="2"/>
      <c r="C2" s="2"/>
      <c r="D2" s="2"/>
      <c r="E2" s="2"/>
      <c r="F2" s="2"/>
    </row>
    <row r="4" customFormat="false" ht="15" hidden="false" customHeight="false" outlineLevel="0" collapsed="false">
      <c r="A4" s="4" t="s">
        <v>576</v>
      </c>
      <c r="B4" s="4" t="s">
        <v>577</v>
      </c>
    </row>
    <row r="5" customFormat="false" ht="23.85" hidden="false" customHeight="false" outlineLevel="0" collapsed="false">
      <c r="A5" s="5" t="s">
        <v>578</v>
      </c>
      <c r="B5" s="6" t="s">
        <v>579</v>
      </c>
    </row>
    <row r="6" customFormat="false" ht="23.85" hidden="false" customHeight="false" outlineLevel="0" collapsed="false">
      <c r="A6" s="5" t="s">
        <v>431</v>
      </c>
      <c r="B6" s="6" t="s">
        <v>580</v>
      </c>
    </row>
    <row r="7" customFormat="false" ht="15" hidden="false" customHeight="false" outlineLevel="0" collapsed="false">
      <c r="A7" s="5" t="s">
        <v>581</v>
      </c>
      <c r="B7" s="6" t="s">
        <v>582</v>
      </c>
    </row>
    <row r="8" customFormat="false" ht="15" hidden="false" customHeight="false" outlineLevel="0" collapsed="false">
      <c r="A8" s="5" t="s">
        <v>583</v>
      </c>
      <c r="B8" s="6" t="s">
        <v>584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70"/>
    <col collapsed="false" customWidth="true" hidden="false" outlineLevel="0" max="4" min="4" style="0" width="20"/>
  </cols>
  <sheetData>
    <row r="1" customFormat="false" ht="17.35" hidden="false" customHeight="false" outlineLevel="0" collapsed="false">
      <c r="A1" s="1" t="s">
        <v>585</v>
      </c>
    </row>
    <row r="2" customFormat="false" ht="13.5" hidden="false" customHeight="true" outlineLevel="0" collapsed="false">
      <c r="A2" s="2" t="s">
        <v>586</v>
      </c>
      <c r="B2" s="2"/>
      <c r="C2" s="2"/>
      <c r="D2" s="2"/>
      <c r="E2" s="2"/>
      <c r="F2" s="2"/>
    </row>
    <row r="4" customFormat="false" ht="15" hidden="false" customHeight="false" outlineLevel="0" collapsed="false">
      <c r="A4" s="4" t="s">
        <v>68</v>
      </c>
      <c r="B4" s="4" t="s">
        <v>587</v>
      </c>
      <c r="C4" s="4" t="s">
        <v>588</v>
      </c>
      <c r="D4" s="4" t="s">
        <v>589</v>
      </c>
    </row>
    <row r="5" customFormat="false" ht="23.85" hidden="false" customHeight="false" outlineLevel="0" collapsed="false">
      <c r="A5" s="9" t="n">
        <v>1</v>
      </c>
      <c r="B5" s="10" t="s">
        <v>590</v>
      </c>
      <c r="C5" s="10" t="s">
        <v>591</v>
      </c>
      <c r="D5" s="10" t="s">
        <v>592</v>
      </c>
    </row>
    <row r="6" customFormat="false" ht="35.05" hidden="false" customHeight="false" outlineLevel="0" collapsed="false">
      <c r="A6" s="9" t="n">
        <v>2</v>
      </c>
      <c r="B6" s="10" t="s">
        <v>525</v>
      </c>
      <c r="C6" s="10" t="s">
        <v>593</v>
      </c>
      <c r="D6" s="10" t="s">
        <v>592</v>
      </c>
    </row>
    <row r="7" customFormat="false" ht="15" hidden="false" customHeight="false" outlineLevel="0" collapsed="false">
      <c r="A7" s="5" t="n">
        <v>3</v>
      </c>
      <c r="B7" s="6" t="s">
        <v>594</v>
      </c>
      <c r="C7" s="6" t="s">
        <v>595</v>
      </c>
      <c r="D7" s="6" t="s">
        <v>596</v>
      </c>
    </row>
    <row r="8" customFormat="false" ht="23.85" hidden="false" customHeight="false" outlineLevel="0" collapsed="false">
      <c r="A8" s="5" t="n">
        <v>4</v>
      </c>
      <c r="B8" s="6" t="s">
        <v>597</v>
      </c>
      <c r="C8" s="6" t="s">
        <v>598</v>
      </c>
      <c r="D8" s="6" t="s">
        <v>596</v>
      </c>
    </row>
    <row r="9" customFormat="false" ht="23.85" hidden="false" customHeight="false" outlineLevel="0" collapsed="false">
      <c r="A9" s="5" t="n">
        <v>5</v>
      </c>
      <c r="B9" s="6" t="s">
        <v>599</v>
      </c>
      <c r="C9" s="6" t="s">
        <v>600</v>
      </c>
      <c r="D9" s="6" t="s">
        <v>596</v>
      </c>
    </row>
    <row r="10" customFormat="false" ht="23.85" hidden="false" customHeight="false" outlineLevel="0" collapsed="false">
      <c r="A10" s="5" t="n">
        <v>6</v>
      </c>
      <c r="B10" s="6" t="s">
        <v>601</v>
      </c>
      <c r="C10" s="6" t="s">
        <v>602</v>
      </c>
      <c r="D10" s="6" t="s">
        <v>603</v>
      </c>
    </row>
    <row r="11" customFormat="false" ht="23.85" hidden="false" customHeight="false" outlineLevel="0" collapsed="false">
      <c r="A11" s="5" t="n">
        <v>7</v>
      </c>
      <c r="B11" s="6" t="s">
        <v>604</v>
      </c>
      <c r="C11" s="6" t="s">
        <v>605</v>
      </c>
      <c r="D11" s="6" t="s">
        <v>606</v>
      </c>
    </row>
    <row r="12" customFormat="false" ht="23.85" hidden="false" customHeight="false" outlineLevel="0" collapsed="false">
      <c r="A12" s="9" t="n">
        <v>8</v>
      </c>
      <c r="B12" s="10" t="s">
        <v>607</v>
      </c>
      <c r="C12" s="10" t="s">
        <v>608</v>
      </c>
      <c r="D12" s="10" t="s">
        <v>592</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2026-10-14T04:45:20Z</dcterms:created>
  <dc:creator>openpyxl</dc:creator>
  <dc:description/>
  <dc:language>en-US</dc:language>
  <cp:lastModifiedBy/>
  <dcterms:modified xsi:type="dcterms:W3CDTF">2026-10-14T04:45:20Z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