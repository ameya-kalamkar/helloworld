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unctional Requirements" sheetId="2" state="visible" r:id="rId4"/>
    <sheet name="Change Log" sheetId="3" state="visible" r:id="rId5"/>
    <sheet name="YAML Reference" sheetId="4" state="visible" r:id="rId6"/>
    <sheet name="Store Settings" sheetId="5" state="visible" r:id="rId7"/>
    <sheet name="Packages &amp; Classes" sheetId="6" state="visible" r:id="rId8"/>
    <sheet name="Tests" sheetId="7" state="visible" r:id="rId9"/>
    <sheet name="Decisions &amp; Open Item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<sst xmlns="http://schemas.openxmlformats.org/spreadsheetml/2006/main" count="1646" uniqueCount="946">
  <si>
    <t xml:space="preserve">data-store — implementation changes</t>
  </si>
  <si>
    <t xml:space="preserve">Java 17 · Spring 7 (no Boot) · Jackson 3 · Fory · Chronicle Map 3 API · Ignite 2.18 · 2026-10-19</t>
  </si>
  <si>
    <t xml:space="preserve">Metric</t>
  </si>
  <si>
    <t xml:space="preserve">Value</t>
  </si>
  <si>
    <t xml:space="preserve">Source</t>
  </si>
  <si>
    <t xml:space="preserve">Functional requirements</t>
  </si>
  <si>
    <t xml:space="preserve">Functional Requirements</t>
  </si>
  <si>
    <t xml:space="preserve">  met</t>
  </si>
  <si>
    <t xml:space="preserve">Functional Requirements, Status</t>
  </si>
  <si>
    <t xml:space="preserve">  met, still to verify on real libraries</t>
  </si>
  <si>
    <t xml:space="preserve">  implemented, not tested here</t>
  </si>
  <si>
    <t xml:space="preserve">Changes logged</t>
  </si>
  <si>
    <t xml:space="preserve">Change Log</t>
  </si>
  <si>
    <t xml:space="preserve">  of which implemented as planned</t>
  </si>
  <si>
    <t xml:space="preserve">Change Log, Status</t>
  </si>
  <si>
    <t xml:space="preserve">  of which changed from plan</t>
  </si>
  <si>
    <t xml:space="preserve">YAML keys documented</t>
  </si>
  <si>
    <t xml:space="preserve">YAML Reference</t>
  </si>
  <si>
    <t xml:space="preserve">  allowed in dataset-defaults</t>
  </si>
  <si>
    <t xml:space="preserve">Store settings documented</t>
  </si>
  <si>
    <t xml:space="preserve">Store Settings</t>
  </si>
  <si>
    <t xml:space="preserve">Ignite dataset-level settings</t>
  </si>
  <si>
    <t xml:space="preserve">Classes in data-store-core</t>
  </si>
  <si>
    <t xml:space="preserve">Packages &amp; Classes</t>
  </si>
  <si>
    <t xml:space="preserve">Packages in data-store-core</t>
  </si>
  <si>
    <t xml:space="preserve">Hardcoded: root, annotation, config, lookup, spi, store, spring, internal</t>
  </si>
  <si>
    <t xml:space="preserve">Test cases (unique)</t>
  </si>
  <si>
    <t xml:space="preserve">Tests</t>
  </si>
  <si>
    <t xml:space="preserve">Test executions passed</t>
  </si>
  <si>
    <t xml:space="preserve">Tests (contract runs on 4 stores)</t>
  </si>
  <si>
    <t xml:space="preserve">Test executions failed</t>
  </si>
  <si>
    <t xml:space="preserve">Open items</t>
  </si>
  <si>
    <t xml:space="preserve">Decisions &amp; Open Items</t>
  </si>
  <si>
    <t xml:space="preserve">Sheets</t>
  </si>
  <si>
    <t xml:space="preserve">Every requirement from the design discussion with acceptance criteria, implementation, linked changes and verifying tests</t>
  </si>
  <si>
    <t xml:space="preserve">Every change implemented: before, after, reason, files, status</t>
  </si>
  <si>
    <t xml:space="preserve">Every common configuration key, level, default, and whether dataset-defaults may set it</t>
  </si>
  <si>
    <t xml:space="preserve">Chronicle / Ignite / memory settings, store vs dataset level</t>
  </si>
  <si>
    <t xml:space="preserve">Module → package → class map with role and visibility</t>
  </si>
  <si>
    <t xml:space="preserve">Test inventory and results per store</t>
  </si>
  <si>
    <t xml:space="preserve">Agreed decisions, open verification items and accepted risks</t>
  </si>
  <si>
    <t xml:space="preserve">Verification note</t>
  </si>
  <si>
    <t xml:space="preserve">Results are from compiling and running against hand-written stand-ins for Spring, Jackson, Fory, Chronicle Map, Ignite and JUnit (Maven Central was unreachable). Confirm with ./gradlew build against the real libraries.</t>
  </si>
  <si>
    <t xml:space="preserve">Req ID</t>
  </si>
  <si>
    <t xml:space="preserve">Category</t>
  </si>
  <si>
    <t xml:space="preserve">Requirement</t>
  </si>
  <si>
    <t xml:space="preserve">Acceptance criteria</t>
  </si>
  <si>
    <t xml:space="preserve">Implementation</t>
  </si>
  <si>
    <t xml:space="preserve">Linked changes</t>
  </si>
  <si>
    <t xml:space="preserve">Verifying tests</t>
  </si>
  <si>
    <t xml:space="preserve">Status</t>
  </si>
  <si>
    <t xml:space="preserve">FR-01</t>
  </si>
  <si>
    <t xml:space="preserve">Pipeline</t>
  </si>
  <si>
    <t xml:space="preserve">Multiple atomic batch jobs hand data to each other through a shared store instead of files</t>
  </si>
  <si>
    <t xml:space="preserve">Initial requirement</t>
  </si>
  <si>
    <t xml:space="preserve">A job's output dataset is readable by the next job in another JVM using the same configuration</t>
  </si>
  <si>
    <t xml:space="preserve">DataStore + Dao per dataset; namespace + partition shared via one YAML</t>
  </si>
  <si>
    <t xml:space="preserve">C001, C008, C009</t>
  </si>
  <si>
    <t xml:space="preserve">secondStoreInSameJvmSeesTheSameData; wholePipelineOnTheMemoryStore</t>
  </si>
  <si>
    <t xml:space="preserve">Met (cross-JVM to verify on real Chronicle/Ignite)</t>
  </si>
  <si>
    <t xml:space="preserve">FR-02</t>
  </si>
  <si>
    <t xml:space="preserve">Behave like JVMs sharing memory: jobs in separate JVMs read and write the same data</t>
  </si>
  <si>
    <t xml:space="preserve">Clarified: 'mimic JVMs sharing memory'</t>
  </si>
  <si>
    <t xml:space="preserve">Chronicle: same files mapped by every JVM on a host; Ignite: same caches from every host</t>
  </si>
  <si>
    <t xml:space="preserve">ChronicleStore (memory-mapped files, no server); IgniteStore (thin client)</t>
  </si>
  <si>
    <t xml:space="preserve">C008, C009</t>
  </si>
  <si>
    <t xml:space="preserve">Chronicle/Ignite contract tests</t>
  </si>
  <si>
    <t xml:space="preserve">Met (cross-JVM to verify on real libraries)</t>
  </si>
  <si>
    <t xml:space="preserve">FR-03</t>
  </si>
  <si>
    <t xml:space="preserve">Daily flow: load reference data, load primary data, parallel processing jobs, derived outputs, flattened CSV export; next day starts fresh</t>
  </si>
  <si>
    <t xml:space="preserve">Daily lifecycle described</t>
  </si>
  <si>
    <t xml:space="preserve">Each step marks its output COMPLETE; next partition is independent of the previous one</t>
  </si>
  <si>
    <t xml:space="preserve">Manifest, createAll, partition per day, sample Pipeline steps</t>
  </si>
  <si>
    <t xml:space="preserve">C014, C047, C053</t>
  </si>
  <si>
    <t xml:space="preserve">wholePipelineOnTheMemoryStore; partitionsAreIsolatedAndKeptUntilDestroyed</t>
  </si>
  <si>
    <t xml:space="preserve">Met</t>
  </si>
  <si>
    <t xml:space="preserve">FR-04</t>
  </si>
  <si>
    <t xml:space="preserve">Downstream jobs start only when upstream data is complete</t>
  </si>
  <si>
    <t xml:space="preserve">Hand-off between jobs</t>
  </si>
  <si>
    <t xml:space="preserve">requireComplete fails with the list of datasets not COMPLETE; require-complete blocks lookups into incomplete datasets</t>
  </si>
  <si>
    <t xml:space="preserve">Manifest.requireComplete; require-complete setting</t>
  </si>
  <si>
    <t xml:space="preserve">C047, C020</t>
  </si>
  <si>
    <t xml:space="preserve">manifestTracksCompletion</t>
  </si>
  <si>
    <t xml:space="preserve">FR-05</t>
  </si>
  <si>
    <t xml:space="preserve">Export rebuilds a flat CSV from nested objects</t>
  </si>
  <si>
    <t xml:space="preserve">One row per nested line with parent fields repeated; deterministic order</t>
  </si>
  <si>
    <t xml:space="preserve">Sample Pipeline.export over EMBEDDED snapshot</t>
  </si>
  <si>
    <t xml:space="preserve">C045, C053</t>
  </si>
  <si>
    <t xml:space="preserve">wholePipelineOnTheMemoryStore</t>
  </si>
  <si>
    <t xml:space="preserve">Met (sample)</t>
  </si>
  <si>
    <t xml:space="preserve">FR-06</t>
  </si>
  <si>
    <t xml:space="preserve">Stores</t>
  </si>
  <si>
    <t xml:space="preserve">Whole operation uses either Chronicle or Ignite, never mixed</t>
  </si>
  <si>
    <t xml:space="preserve">'One whole goal is either Chronicle or Ignite'</t>
  </si>
  <si>
    <t xml:space="preserve">One store-type per configuration; per-dataset store choice not possible</t>
  </si>
  <si>
    <t xml:space="preserve">store-type at whole-store level</t>
  </si>
  <si>
    <t xml:space="preserve">C012, C013</t>
  </si>
  <si>
    <t xml:space="preserve">validationErrors</t>
  </si>
  <si>
    <t xml:space="preserve">FR-07</t>
  </si>
  <si>
    <t xml:space="preserve">Chronicle for one large host (128 cores, 3 TB), no service to run</t>
  </si>
  <si>
    <t xml:space="preserve">Single big machine scenario</t>
  </si>
  <si>
    <t xml:space="preserve">No server process; data off-heap in mapped files; parallel splits</t>
  </si>
  <si>
    <t xml:space="preserve">ChronicleStore with splits, FileLocks</t>
  </si>
  <si>
    <t xml:space="preserve">C008, C049</t>
  </si>
  <si>
    <t xml:space="preserve">Chronicle contract tests</t>
  </si>
  <si>
    <t xml:space="preserve">Met (stand-in verified)</t>
  </si>
  <si>
    <t xml:space="preserve">FR-08</t>
  </si>
  <si>
    <t xml:space="preserve">Ignite 2 for multi-host pipelines via thin client</t>
  </si>
  <si>
    <t xml:space="preserve">'Use Ignite 2 instead of 3'</t>
  </si>
  <si>
    <t xml:space="preserve">Caches per dataset per partition; bulk getAll; partition-aware scans</t>
  </si>
  <si>
    <t xml:space="preserve">IgniteStore</t>
  </si>
  <si>
    <t xml:space="preserve">C009, C025, C033</t>
  </si>
  <si>
    <t xml:space="preserve">Ignite contract tests</t>
  </si>
  <si>
    <t xml:space="preserve">Met (needs live cluster test)</t>
  </si>
  <si>
    <t xml:space="preserve">FR-09</t>
  </si>
  <si>
    <t xml:space="preserve">Plain Java map (memory) store for unit tests and local runs, in core</t>
  </si>
  <si>
    <t xml:space="preserve">Memory store as default in core</t>
  </si>
  <si>
    <t xml:space="preserve">No extra module; default store-type; behaves like real stores (copies on read)</t>
  </si>
  <si>
    <t xml:space="preserve">MemoryStore</t>
  </si>
  <si>
    <t xml:space="preserve">C007</t>
  </si>
  <si>
    <t xml:space="preserve">Memory contract tests; Core tests</t>
  </si>
  <si>
    <t xml:space="preserve">FR-10</t>
  </si>
  <si>
    <t xml:space="preserve">Any custom store works by implementing Store</t>
  </si>
  <si>
    <t xml:space="preserve">'Just implement Store - it should work'</t>
  </si>
  <si>
    <t xml:space="preserve">Selected by class name or ServiceLoader; gets own typed settings; passes contract</t>
  </si>
  <si>
    <t xml:space="preserve">Store + StoreMap SPI</t>
  </si>
  <si>
    <t xml:space="preserve">C010, C011</t>
  </si>
  <si>
    <t xml:space="preserve">CountingStore contract tests; customStoreReceivesItsSettings</t>
  </si>
  <si>
    <t xml:space="preserve">FR-11</t>
  </si>
  <si>
    <t xml:space="preserve">Library</t>
  </si>
  <si>
    <t xml:space="preserve">Three modules published separately to Artifactory: core, chronicle, ignite</t>
  </si>
  <si>
    <t xml:space="preserve">Module split requested</t>
  </si>
  <si>
    <t xml:space="preserve">Each module publishes its own jar; consumer adds core + one store</t>
  </si>
  <si>
    <t xml:space="preserve">Gradle multi-project with maven-publish</t>
  </si>
  <si>
    <t xml:space="preserve">C001</t>
  </si>
  <si>
    <t xml:space="preserve">Gradle dry run</t>
  </si>
  <si>
    <t xml:space="preserve">FR-12</t>
  </si>
  <si>
    <t xml:space="preserve">Teams use central DAOs; they do not implement data access</t>
  </si>
  <si>
    <t xml:space="preserve">'DAOs centralized across'</t>
  </si>
  <si>
    <t xml:space="preserve">Dao obtained from DataStore.dao(...) for any configured dataset</t>
  </si>
  <si>
    <t xml:space="preserve">Dao, DataStore</t>
  </si>
  <si>
    <t xml:space="preserve">C003</t>
  </si>
  <si>
    <t xml:space="preserve">All contract tests</t>
  </si>
  <si>
    <t xml:space="preserve">FR-13</t>
  </si>
  <si>
    <t xml:space="preserve">Plain Spring only (no Spring Boot); also usable without Spring</t>
  </si>
  <si>
    <t xml:space="preserve">'Avoid Spring Boot - only Spring'</t>
  </si>
  <si>
    <t xml:space="preserve">@Import(DataStoreConfiguration.class); DataStore.builder() without Spring</t>
  </si>
  <si>
    <t xml:space="preserve">DataStoreConfiguration, DataStore.Builder</t>
  </si>
  <si>
    <t xml:space="preserve">C002, C051</t>
  </si>
  <si>
    <t xml:space="preserve">Core tests (no Spring)</t>
  </si>
  <si>
    <t xml:space="preserve">FR-14</t>
  </si>
  <si>
    <t xml:space="preserve">Flink/Spark executors run Spring for the job's lifetime</t>
  </si>
  <si>
    <t xml:space="preserve">Consumer types described</t>
  </si>
  <si>
    <t xml:space="preserve">One context per executor JVM shared by tasks; Flink release hook</t>
  </si>
  <si>
    <t xml:space="preserve">ExecutorContext</t>
  </si>
  <si>
    <t xml:space="preserve">C050</t>
  </si>
  <si>
    <t xml:space="preserve">-</t>
  </si>
  <si>
    <t xml:space="preserve">Implemented (not tested here)</t>
  </si>
  <si>
    <t xml:space="preserve">FR-15</t>
  </si>
  <si>
    <t xml:space="preserve">Limit number of classes; organise in subpackages</t>
  </si>
  <si>
    <t xml:space="preserve">'Limit classes, create multiple subpackages'</t>
  </si>
  <si>
    <t xml:space="preserve">19 classes in core across 8 packages; 1 class per store module</t>
  </si>
  <si>
    <t xml:space="preserve">Package layout</t>
  </si>
  <si>
    <t xml:space="preserve">C004, C005, C006</t>
  </si>
  <si>
    <t xml:space="preserve">FR-16</t>
  </si>
  <si>
    <t xml:space="preserve">Java 17, Spring 7, Jackson 3, Chronicle Map 3, Ignite 2, Fory latest</t>
  </si>
  <si>
    <t xml:space="preserve">Tech stack requested</t>
  </si>
  <si>
    <t xml:space="preserve">Versions pinned in libs.versions.toml</t>
  </si>
  <si>
    <t xml:space="preserve">gradle/libs.versions.toml</t>
  </si>
  <si>
    <t xml:space="preserve">C001, C009</t>
  </si>
  <si>
    <t xml:space="preserve">Met (versions to confirm in Artifactory)</t>
  </si>
  <si>
    <t xml:space="preserve">FR-17</t>
  </si>
  <si>
    <t xml:space="preserve">Domain</t>
  </si>
  <si>
    <t xml:space="preserve">Domain classes live in team-owned libraries; consumer YAML lists datasets and domain classes</t>
  </si>
  <si>
    <t xml:space="preserve">Domains are separate libs</t>
  </si>
  <si>
    <t xml:space="preserve">Library has no domain code; datasets bound by class name from YAML</t>
  </si>
  <si>
    <t xml:space="preserve">DatasetConfig.value / key / id</t>
  </si>
  <si>
    <t xml:space="preserve">C034</t>
  </si>
  <si>
    <t xml:space="preserve">FR-18</t>
  </si>
  <si>
    <t xml:space="preserve">Existing domain classes keep working for older apps</t>
  </si>
  <si>
    <t xml:space="preserve">'Old apps continue with existing way'</t>
  </si>
  <si>
    <t xml:space="preserve">Full-object fields stay; REFERENCE mode never modifies caller objects</t>
  </si>
  <si>
    <t xml:space="preserve">into fields + strip copy</t>
  </si>
  <si>
    <t xml:space="preserve">C044, C046</t>
  </si>
  <si>
    <t xml:space="preserve">referenceModeStoresOnlyIdsAndLeavesCallerObjectsAlone</t>
  </si>
  <si>
    <t xml:space="preserve">FR-19</t>
  </si>
  <si>
    <t xml:space="preserve">Relations by annotation or YAML (no wrapper type)</t>
  </si>
  <si>
    <t xml:space="preserve">'Can Lookup be an annotation?'</t>
  </si>
  <si>
    <t xml:space="preserve">@Lookup on field, or lookups: in YAML; both validated; conflict fails</t>
  </si>
  <si>
    <t xml:space="preserve">@Lookup, LookupConfig</t>
  </si>
  <si>
    <t xml:space="preserve">C034, C035, C036</t>
  </si>
  <si>
    <t xml:space="preserve">validationErrors; eagerReadResolvesTheFullGraph</t>
  </si>
  <si>
    <t xml:space="preserve">FR-20</t>
  </si>
  <si>
    <t xml:space="preserve">Id from annotation or YAML; composite key from several fields</t>
  </si>
  <si>
    <t xml:space="preserve">'Are @Id/@Lookup mandatory?'</t>
  </si>
  <si>
    <t xml:space="preserve">@Id, id: field, or id: [f1, f2] with key:</t>
  </si>
  <si>
    <t xml:space="preserve">DataStore.Builder.meta()</t>
  </si>
  <si>
    <t xml:space="preserve">C030</t>
  </si>
  <si>
    <t xml:space="preserve">keyBuiltFromSeveralFields</t>
  </si>
  <si>
    <t xml:space="preserve">FR-21</t>
  </si>
  <si>
    <t xml:space="preserve">Keys</t>
  </si>
  <si>
    <t xml:space="preserve">Custom key classes always supported (immutable, equals/hashCode)</t>
  </si>
  <si>
    <t xml:space="preserve">'Custom key support is always required'</t>
  </si>
  <si>
    <t xml:space="preserve">Records or final classes with simple fields; deterministic in every JVM; enums supported</t>
  </si>
  <si>
    <t xml:space="preserve">KeyCodec; Chronicle byte keys; Ignite BinaryObject keys</t>
  </si>
  <si>
    <t xml:space="preserve">C029, C031, C032, C033</t>
  </si>
  <si>
    <t xml:space="preserve">compositeRecordKeyWithEnum; keyBuiltFromSeveralFields</t>
  </si>
  <si>
    <t xml:space="preserve">FR-22</t>
  </si>
  <si>
    <t xml:space="preserve">Lookups</t>
  </si>
  <si>
    <t xml:space="preserve">Nested object holds the id of another dataset's object (lazy-fetch style); works on Chronicle and Ignite</t>
  </si>
  <si>
    <t xml:space="preserve">Lazy-fetch requirement</t>
  </si>
  <si>
    <t xml:space="preserve">Only ids stored in REFERENCE mode; resolved from the target dataset</t>
  </si>
  <si>
    <t xml:space="preserve">Lookup links, LookupResolver</t>
  </si>
  <si>
    <t xml:space="preserve">C037, C044</t>
  </si>
  <si>
    <t xml:space="preserve">eagerReadResolvesTheFullGraph (all stores)</t>
  </si>
  <si>
    <t xml:space="preserve">FR-23</t>
  </si>
  <si>
    <t xml:space="preserve">No per-item network calls at 10M volume</t>
  </si>
  <si>
    <t xml:space="preserve">'Is lazy fetch over network a killer?'</t>
  </si>
  <si>
    <t xml:space="preserve">One bulk call per target dataset per level per page</t>
  </si>
  <si>
    <t xml:space="preserve">LookupResolver level loop; Dao pages/findAllById</t>
  </si>
  <si>
    <t xml:space="preserve">C040, C043</t>
  </si>
  <si>
    <t xml:space="preserve">eagerPageIsOneBulkCallPerDatasetPerLevel</t>
  </si>
  <si>
    <t xml:space="preserve">FR-24</t>
  </si>
  <si>
    <t xml:space="preserve">Resolve policy per lookup: EAGER or LAZY, with dataset and default levels</t>
  </si>
  <si>
    <t xml:space="preserve">Resolve policy requested</t>
  </si>
  <si>
    <t xml:space="preserve">lookup → dataset → dataset-defaults → LAZY; per-call override</t>
  </si>
  <si>
    <t xml:space="preserve">lookup-resolve-policy, Resolve</t>
  </si>
  <si>
    <t xml:space="preserve">C017, C020, C038</t>
  </si>
  <si>
    <t xml:space="preserve">perCallOverrides; eagerReadResolvesTheFullGraph</t>
  </si>
  <si>
    <t xml:space="preserve">FR-25</t>
  </si>
  <si>
    <t xml:space="preserve">EAGER or resolve() resolves the full graph to any depth</t>
  </si>
  <si>
    <t xml:space="preserve">'System should do all n depth'</t>
  </si>
  <si>
    <t xml:space="preserve">Targets' own lookups resolved regardless of their policy; cycles terminate</t>
  </si>
  <si>
    <t xml:space="preserve">LookupResolver full-depth loop</t>
  </si>
  <si>
    <t xml:space="preserve">C039, C041</t>
  </si>
  <si>
    <t xml:space="preserve">eagerReadResolvesTheFullGraph; cyclesTerminateAndReusePageObjects</t>
  </si>
  <si>
    <t xml:space="preserve">FR-26</t>
  </si>
  <si>
    <t xml:space="preserve">Datasets define only direct members; target dataset's mapping drives the next level</t>
  </si>
  <si>
    <t xml:space="preserve">Clarified expectation</t>
  </si>
  <si>
    <t xml:space="preserve">Each dataset lists only its own lookups; chain followed through targets</t>
  </si>
  <si>
    <t xml:space="preserve">buildLinks per dataset</t>
  </si>
  <si>
    <t xml:space="preserve">C037</t>
  </si>
  <si>
    <t xml:space="preserve">eagerReadResolvesTheFullGraph</t>
  </si>
  <si>
    <t xml:space="preserve">FR-27</t>
  </si>
  <si>
    <t xml:space="preserve">One utility to resolve all lookups at once or on need</t>
  </si>
  <si>
    <t xml:space="preserve">'Provide 1 util class for LookupResolver'</t>
  </si>
  <si>
    <t xml:space="preserve">resolve(page), resolve(page, names...), scope(page) lazy</t>
  </si>
  <si>
    <t xml:space="preserve">LookupResolver, LookupResult</t>
  </si>
  <si>
    <t xml:space="preserve">C042</t>
  </si>
  <si>
    <t xml:space="preserve">resolverOnDemandAndScope</t>
  </si>
  <si>
    <t xml:space="preserve">FR-28</t>
  </si>
  <si>
    <t xml:space="preserve">Same id referenced by several objects is fetched once and shared</t>
  </si>
  <si>
    <t xml:space="preserve">'Cached centrally on JVM side?'</t>
  </si>
  <si>
    <t xml:space="preserve">Within a page: one fetch and one instance; across pages: local-cache</t>
  </si>
  <si>
    <t xml:space="preserve">Per-call identity map; local-cache</t>
  </si>
  <si>
    <t xml:space="preserve">C041, C028</t>
  </si>
  <si>
    <t xml:space="preserve">FR-29</t>
  </si>
  <si>
    <t xml:space="preserve">Missing lookup target behaviour configurable</t>
  </si>
  <si>
    <t xml:space="preserve">Rename to on-missing-target</t>
  </si>
  <si>
    <t xml:space="preserve">FAIL (default) or NULL, set on the target dataset</t>
  </si>
  <si>
    <t xml:space="preserve">on-missing-target</t>
  </si>
  <si>
    <t xml:space="preserve">C018</t>
  </si>
  <si>
    <t xml:space="preserve">missingTargetFailsByDefault; missingTargetIsNullWhenConfigured; datasetOverridesDatasetDefaults</t>
  </si>
  <si>
    <t xml:space="preserve">FR-30</t>
  </si>
  <si>
    <t xml:space="preserve">Storage</t>
  </si>
  <si>
    <t xml:space="preserve">Option to store the complete object with member domains</t>
  </si>
  <si>
    <t xml:space="preserve">'Store complete object ... at dataset/store level'</t>
  </si>
  <si>
    <t xml:space="preserve">storage-mode EMBEDDED at dataset or dataset-defaults; cycles supported</t>
  </si>
  <si>
    <t xml:space="preserve">EMBEDDED mode with reference tracking</t>
  </si>
  <si>
    <t xml:space="preserve">C045</t>
  </si>
  <si>
    <t xml:space="preserve">embeddedModeStoresTheWholeGraph</t>
  </si>
  <si>
    <t xml:space="preserve">FR-31</t>
  </si>
  <si>
    <t xml:space="preserve">Cache</t>
  </si>
  <si>
    <t xml:space="preserve">Local JVM short-circuit for repeated lookups, no Spring Cache, no Caffeine, unlimited</t>
  </si>
  <si>
    <t xml:space="preserve">local-cache requirements</t>
  </si>
  <si>
    <t xml:space="preserve">local-cache: true caches encoded values in an unbounded ConcurrentHashMap per dataset per JVM</t>
  </si>
  <si>
    <t xml:space="preserve">Dao local cache</t>
  </si>
  <si>
    <t xml:space="preserve">C027, C028</t>
  </si>
  <si>
    <t xml:space="preserve">Contract tests (region local-cache)</t>
  </si>
  <si>
    <t xml:space="preserve">FR-32</t>
  </si>
  <si>
    <t xml:space="preserve">Config</t>
  </si>
  <si>
    <t xml:space="preserve">YAML or JSON, one common root, store-type selects the backend</t>
  </si>
  <si>
    <t xml:space="preserve">Config layout requested</t>
  </si>
  <si>
    <t xml:space="preserve">Both formats load; store-type: memory | chronicle | ignite | class</t>
  </si>
  <si>
    <t xml:space="preserve">DataStoreConfig.parse</t>
  </si>
  <si>
    <t xml:space="preserve">jsonConfigWorksToo</t>
  </si>
  <si>
    <t xml:space="preserve">FR-33</t>
  </si>
  <si>
    <t xml:space="preserve">dataset-defaults overridable at dataset level, field by field</t>
  </si>
  <si>
    <t xml:space="preserve">'dataset-defaults can be override at dataset level'</t>
  </si>
  <si>
    <t xml:space="preserve">Unset dataset fields inherit; store blocks merge per field; effective settings logged</t>
  </si>
  <si>
    <t xml:space="preserve">DatasetConfig.over(), mergeBlocks</t>
  </si>
  <si>
    <t xml:space="preserve">C020, C021, C023</t>
  </si>
  <si>
    <t xml:space="preserve">datasetOverridesDatasetDefaults; datasetDefaultsAreValidated</t>
  </si>
  <si>
    <t xml:space="preserve">FR-34</t>
  </si>
  <si>
    <t xml:space="preserve">Ignite configurable per dataset; Chronicle kept as it is</t>
  </si>
  <si>
    <t xml:space="preserve">Store config per dataset</t>
  </si>
  <si>
    <t xml:space="preserve">Ignite cache settings at dataset level; connection at store level</t>
  </si>
  <si>
    <t xml:space="preserve">IgniteStore.DatasetSettings</t>
  </si>
  <si>
    <t xml:space="preserve">C025, C026</t>
  </si>
  <si>
    <t xml:space="preserve">FR-35</t>
  </si>
  <si>
    <t xml:space="preserve">Store-specific validation</t>
  </si>
  <si>
    <t xml:space="preserve">'Specific validation of YAML'</t>
  </si>
  <si>
    <t xml:space="preserve">Active store blocks strictly validated; typos fail with full path</t>
  </si>
  <si>
    <t xml:space="preserve">storeBlock() + typed settings classes</t>
  </si>
  <si>
    <t xml:space="preserve">C022</t>
  </si>
  <si>
    <t xml:space="preserve">validationErrors; typoInYamlIsRejectedAtStartup</t>
  </si>
  <si>
    <t xml:space="preserve">FR-36</t>
  </si>
  <si>
    <t xml:space="preserve">Namespace isolates teams sharing a machine or cluster</t>
  </si>
  <si>
    <t xml:space="preserve">Teams on same machine</t>
  </si>
  <si>
    <t xml:space="preserve">Different namespaces never see or delete each other's data</t>
  </si>
  <si>
    <t xml:space="preserve">Namespace in paths / cache names</t>
  </si>
  <si>
    <t xml:space="preserve">C014</t>
  </si>
  <si>
    <t xml:space="preserve">partitionsAreIsolatedAndKeptUntilDestroyed</t>
  </si>
  <si>
    <t xml:space="preserve">FR-37</t>
  </si>
  <si>
    <t xml:space="preserve">Partition key built from custom parts (${A}_${B})</t>
  </si>
  <si>
    <t xml:space="preserve">'Say partition - custom concatenated key'</t>
  </si>
  <si>
    <t xml:space="preserve">partition.parts joined with '_'; placeholders resolved</t>
  </si>
  <si>
    <t xml:space="preserve">DataStore.Builder.partition()</t>
  </si>
  <si>
    <t xml:space="preserve">C014, C024</t>
  </si>
  <si>
    <t xml:space="preserve">FR-38</t>
  </si>
  <si>
    <t xml:space="preserve">Lifecycle</t>
  </si>
  <si>
    <t xml:space="preserve">Rerun yesterday (any partition) when required</t>
  </si>
  <si>
    <t xml:space="preserve">'Can I run the job for yesterday?'</t>
  </si>
  <si>
    <t xml:space="preserve">Start with another partition value; data of other partitions untouched</t>
  </si>
  <si>
    <t xml:space="preserve">Partition per run; reset(dataset)</t>
  </si>
  <si>
    <t xml:space="preserve">C014, C048</t>
  </si>
  <si>
    <t xml:space="preserve">partitionsAreIsolatedAndKeptUntilDestroyed; overwriteDeleteAndReset</t>
  </si>
  <si>
    <t xml:space="preserve">FR-39</t>
  </si>
  <si>
    <t xml:space="preserve">Retention unlimited by default; delete manually; never delete in-use data</t>
  </si>
  <si>
    <t xml:space="preserve">Retention requirements</t>
  </si>
  <si>
    <t xml:space="preserve">No automatic deletion; destroyPartition refuses own/in-use partition</t>
  </si>
  <si>
    <t xml:space="preserve">destroyPartition, FileLocks</t>
  </si>
  <si>
    <t xml:space="preserve">C015, C048, C049</t>
  </si>
  <si>
    <t xml:space="preserve">Met (Ignite: no cross-host lock)</t>
  </si>
  <si>
    <t xml:space="preserve">FR-40</t>
  </si>
  <si>
    <t xml:space="preserve">Quality</t>
  </si>
  <si>
    <t xml:space="preserve">Fail fast at startup on any configuration or mapping error</t>
  </si>
  <si>
    <t xml:space="preserve">Validation expectations</t>
  </si>
  <si>
    <t xml:space="preserve">Store, blocks, classes, ids, keys, lookup targets and types validated before jobs run</t>
  </si>
  <si>
    <t xml:space="preserve">DataStore.Builder.start()</t>
  </si>
  <si>
    <t xml:space="preserve">C021, C022</t>
  </si>
  <si>
    <t xml:space="preserve">validationErrors; datasetDefaultsAreValidated</t>
  </si>
  <si>
    <t xml:space="preserve">FR-41</t>
  </si>
  <si>
    <t xml:space="preserve">Sample Spring consumer app and JUnit examples on the memory store</t>
  </si>
  <si>
    <t xml:space="preserve">Sample requested</t>
  </si>
  <si>
    <t xml:space="preserve">Production YAML runs on memory in a unit test</t>
  </si>
  <si>
    <t xml:space="preserve">samples/sample-app, PipelineTest</t>
  </si>
  <si>
    <t xml:space="preserve">C053</t>
  </si>
  <si>
    <t xml:space="preserve">ID</t>
  </si>
  <si>
    <t xml:space="preserve">Area</t>
  </si>
  <si>
    <t xml:space="preserve">Module</t>
  </si>
  <si>
    <t xml:space="preserve">Change</t>
  </si>
  <si>
    <t xml:space="preserve">Before</t>
  </si>
  <si>
    <t xml:space="preserve">After / implemented</t>
  </si>
  <si>
    <t xml:space="preserve">Why / requested</t>
  </si>
  <si>
    <t xml:space="preserve">Main files</t>
  </si>
  <si>
    <t xml:space="preserve">Architecture</t>
  </si>
  <si>
    <t xml:space="preserve">all</t>
  </si>
  <si>
    <t xml:space="preserve">Three published library modules plus samples</t>
  </si>
  <si>
    <t xml:space="preserve">Single design discussion, no code</t>
  </si>
  <si>
    <t xml:space="preserve">data-store-core, data-store-chronicle, data-store-ignite (published to Artifactory); samples/sample-domain and samples/sample-app (not published)</t>
  </si>
  <si>
    <t xml:space="preserve">Requested: separate modules, one library teams import</t>
  </si>
  <si>
    <t xml:space="preserve">settings.gradle.kts, build.gradle.kts</t>
  </si>
  <si>
    <t xml:space="preserve">Implemented</t>
  </si>
  <si>
    <t xml:space="preserve">C002</t>
  </si>
  <si>
    <t xml:space="preserve">core</t>
  </si>
  <si>
    <t xml:space="preserve">No Spring Boot; plain Spring 7 only</t>
  </si>
  <si>
    <t xml:space="preserve">Boot auto-configuration in early design</t>
  </si>
  <si>
    <t xml:space="preserve">@Import(DataStoreConfiguration.class) with @PropertySource; no Boot dependency</t>
  </si>
  <si>
    <t xml:space="preserve">Requested: avoid Spring Boot</t>
  </si>
  <si>
    <t xml:space="preserve">spring/DataStoreConfiguration.java</t>
  </si>
  <si>
    <t xml:space="preserve">Spring Data repositories and Spring Cache dropped</t>
  </si>
  <si>
    <t xml:space="preserve">CrudRepository + Spring Cache in early design</t>
  </si>
  <si>
    <t xml:space="preserve">Own generic Dao&lt;T,K&gt; obtained from DataStore.dao(...)</t>
  </si>
  <si>
    <t xml:space="preserve">Spring Data hid remote calls (N+1) and needed overriding for bulk; Spring Cache not needed</t>
  </si>
  <si>
    <t xml:space="preserve">Dao.java, DataStore.java</t>
  </si>
  <si>
    <t xml:space="preserve">C004</t>
  </si>
  <si>
    <t xml:space="preserve">Core split into subpackages, class count kept low</t>
  </si>
  <si>
    <t xml:space="preserve">All core classes in one package</t>
  </si>
  <si>
    <t xml:space="preserve">Root (DataStore, Dao, Manifest, DataStoreException) + annotation, config, lookup, spi, store, spring, internal; 19 classes in core, 1 per store module</t>
  </si>
  <si>
    <t xml:space="preserve">Requested: limit classes, multiple subpackages</t>
  </si>
  <si>
    <t xml:space="preserve">data-store-core/src/main/java/com/acme/datastore/**</t>
  </si>
  <si>
    <t xml:space="preserve">C005</t>
  </si>
  <si>
    <t xml:space="preserve">Internal model made public in .internal package</t>
  </si>
  <si>
    <t xml:space="preserve">Package-private Model in root package</t>
  </si>
  <si>
    <t xml:space="preserve">internal.Model public (needed across packages), Javadoc marks it as not API</t>
  </si>
  <si>
    <t xml:space="preserve">Consequence of subpackages</t>
  </si>
  <si>
    <t xml:space="preserve">internal/Model.java</t>
  </si>
  <si>
    <t xml:space="preserve">C006</t>
  </si>
  <si>
    <t xml:space="preserve">Resolver decoupled through Backend interface</t>
  </si>
  <si>
    <t xml:space="preserve">Resolver called DataStore internals directly</t>
  </si>
  <si>
    <t xml:space="preserve">LookupResolver.Backend (meta, datasetOf, fetch, requireComplete) implemented by DataStore</t>
  </si>
  <si>
    <t xml:space="preserve">Keeps lookup package independent of DataStore internals</t>
  </si>
  <si>
    <t xml:space="preserve">lookup/LookupResolver.java, DataStore.java</t>
  </si>
  <si>
    <t xml:space="preserve">Memory store built into core and the default</t>
  </si>
  <si>
    <t xml:space="preserve">Separate in-memory provider</t>
  </si>
  <si>
    <t xml:space="preserve">store-type: memory is the default; ConcurrentHashMap per dataset per partition; copies on read (values stored as bytes)</t>
  </si>
  <si>
    <t xml:space="preserve">Requested: memory store in core for JUnit/examples</t>
  </si>
  <si>
    <t xml:space="preserve">store/MemoryStore.java</t>
  </si>
  <si>
    <t xml:space="preserve">C008</t>
  </si>
  <si>
    <t xml:space="preserve">chronicle</t>
  </si>
  <si>
    <t xml:space="preserve">Chronicle Map store with splits</t>
  </si>
  <si>
    <t xml:space="preserve">n/a</t>
  </si>
  <si>
    <t xml:space="preserve">One Chronicle map file per split under &lt;base-dir&gt;/&lt;namespace&gt;/&lt;partition&gt;/&lt;dataset&gt;/; byte[] keys and values; split by stable hash of encoded key; split count fixed at create and read back</t>
  </si>
  <si>
    <t xml:space="preserve">Single big machine use case; no server needed</t>
  </si>
  <si>
    <t xml:space="preserve">chronicle/ChronicleStore.java</t>
  </si>
  <si>
    <t xml:space="preserve">C009</t>
  </si>
  <si>
    <t xml:space="preserve">ignite</t>
  </si>
  <si>
    <t xml:space="preserve">Ignite 2 thin client store (replaces Ignite 3)</t>
  </si>
  <si>
    <t xml:space="preserve">Ignite 3 tables in an earlier build</t>
  </si>
  <si>
    <t xml:space="preserve">One PARTITIONED/ATOMIC cache per dataset per partition (&lt;ns&gt;__&lt;dataset&gt;__&lt;partition&gt;); values as Fory bytes; composite keys as BinaryObject; scan splits group Ignite partitions</t>
  </si>
  <si>
    <t xml:space="preserve">Requested: use Ignite 2 instead of 3</t>
  </si>
  <si>
    <t xml:space="preserve">ignite/IgniteStore.java</t>
  </si>
  <si>
    <t xml:space="preserve">C010</t>
  </si>
  <si>
    <t xml:space="preserve">Custom store = implement Store + StoreMap</t>
  </si>
  <si>
    <t xml:space="preserve">Provider SPI with more types</t>
  </si>
  <si>
    <t xml:space="preserve">Store (name, settingsType, datasetSettingsType, init, open, partitions, destroy, lock) + StoreMap (bytes in/out); selected by name via ServiceLoader or by class name</t>
  </si>
  <si>
    <t xml:space="preserve">Requested: any custom store just implements Store</t>
  </si>
  <si>
    <t xml:space="preserve">spi/Store.java, spi/StoreMap.java, test CountingStore.java</t>
  </si>
  <si>
    <t xml:space="preserve">C011</t>
  </si>
  <si>
    <t xml:space="preserve">Stores only see bytes</t>
  </si>
  <si>
    <t xml:space="preserve">Stores handled serialization</t>
  </si>
  <si>
    <t xml:space="preserve">Core encodes values (Fory) and handles storage modes and lookups; stores store byte[]</t>
  </si>
  <si>
    <t xml:space="preserve">Makes custom stores simple; local-cache can cache bytes safely</t>
  </si>
  <si>
    <t xml:space="preserve">spi/StoreMap.java, internal/Model.java</t>
  </si>
  <si>
    <t xml:space="preserve">C012</t>
  </si>
  <si>
    <t xml:space="preserve">One common root 'datastore' for YAML or JSON</t>
  </si>
  <si>
    <t xml:space="preserve">Separate root per backend (earlier plan)</t>
  </si>
  <si>
    <t xml:space="preserve">Single datastore block; JSON accepted (read by the YAML parser)</t>
  </si>
  <si>
    <t xml:space="preserve">Requested: common YAML, JSON if needed</t>
  </si>
  <si>
    <t xml:space="preserve">config/DataStoreConfig.java</t>
  </si>
  <si>
    <t xml:space="preserve">C013</t>
  </si>
  <si>
    <t xml:space="preserve">store -&gt; store-type</t>
  </si>
  <si>
    <t xml:space="preserve">store:</t>
  </si>
  <si>
    <t xml:space="preserve">store-type: memory | chronicle | ignite | &lt;class name&gt;</t>
  </si>
  <si>
    <t xml:space="preserve">Requested rename</t>
  </si>
  <si>
    <t xml:space="preserve">config/DataStoreConfig.java, DataStore.Builder.storeType()</t>
  </si>
  <si>
    <t xml:space="preserve">run-date -&gt; partition with named parts</t>
  </si>
  <si>
    <t xml:space="preserve">run-date: ${RUN_DATE}</t>
  </si>
  <si>
    <t xml:space="preserve">partition.parts joined with '_' in order (e.g. NA_20261018)</t>
  </si>
  <si>
    <t xml:space="preserve">Requested: custom concatenated partition key</t>
  </si>
  <si>
    <t xml:space="preserve">DataStore.java (partition())</t>
  </si>
  <si>
    <t xml:space="preserve">C015</t>
  </si>
  <si>
    <t xml:space="preserve">Retention removed (unlimited by default)</t>
  </si>
  <si>
    <t xml:space="preserve">retention-days: 2</t>
  </si>
  <si>
    <t xml:space="preserve">Nothing deleted automatically; destroyPartition(p) for explicit deletes; manual directory delete for Chronicle</t>
  </si>
  <si>
    <t xml:space="preserve">Requested: keep everything unless deleted manually</t>
  </si>
  <si>
    <t xml:space="preserve">DataStore.destroyPartition</t>
  </si>
  <si>
    <t xml:space="preserve">C016</t>
  </si>
  <si>
    <t xml:space="preserve">lookup-defaults split into lookup-resolver + dataset-defaults</t>
  </si>
  <si>
    <t xml:space="preserve">lookup-defaults (resolve, missing, parallelism, require-complete...)</t>
  </si>
  <si>
    <t xml:space="preserve">lookup-resolver: parallelism, page-size, max-depth, single-read-warn (whole store); per-dataset parts moved to dataset-defaults</t>
  </si>
  <si>
    <t xml:space="preserve">Each setting has exactly one home</t>
  </si>
  <si>
    <t xml:space="preserve">C017</t>
  </si>
  <si>
    <t xml:space="preserve">resolve -&gt; lookup-resolve-policy</t>
  </si>
  <si>
    <t xml:space="preserve">resolve:</t>
  </si>
  <si>
    <t xml:space="preserve">lookup-resolve-policy: EAGER | LAZY (dataset-defaults, dataset, lookup entry)</t>
  </si>
  <si>
    <t xml:space="preserve">missing -&gt; on-missing-target</t>
  </si>
  <si>
    <t xml:space="preserve">missing:</t>
  </si>
  <si>
    <t xml:space="preserve">on-missing-target: FAIL | NULL, read from the TARGET dataset</t>
  </si>
  <si>
    <t xml:space="preserve">config/DataStoreConfig.java, lookup/LookupResolver.java</t>
  </si>
  <si>
    <t xml:space="preserve">C019</t>
  </si>
  <si>
    <t xml:space="preserve">resolver -&gt; lookup-resolver</t>
  </si>
  <si>
    <t xml:space="preserve">(proposed) resolver:</t>
  </si>
  <si>
    <t xml:space="preserve">lookup-resolver:</t>
  </si>
  <si>
    <t xml:space="preserve">C020</t>
  </si>
  <si>
    <t xml:space="preserve">dataset-defaults with field-by-field override</t>
  </si>
  <si>
    <t xml:space="preserve">Each dataset repeated all settings</t>
  </si>
  <si>
    <t xml:space="preserve">dataset-defaults holds any dataset setting; dataset overrides per field; nested store blocks merge per field</t>
  </si>
  <si>
    <t xml:space="preserve">Requested</t>
  </si>
  <si>
    <t xml:space="preserve">DataStoreConfig.DatasetConfig.over(), mergeBlocks()</t>
  </si>
  <si>
    <t xml:space="preserve">C021</t>
  </si>
  <si>
    <t xml:space="preserve">dataset-defaults restricted to shared settings</t>
  </si>
  <si>
    <t xml:space="preserve">value, key, id and lookups rejected in dataset-defaults at startup</t>
  </si>
  <si>
    <t xml:space="preserve">They belong to one dataset</t>
  </si>
  <si>
    <t xml:space="preserve">Strict validation of the active store's blocks only</t>
  </si>
  <si>
    <t xml:space="preserve">Unknown keys failed regardless</t>
  </si>
  <si>
    <t xml:space="preserve">Active store's blocks bound strictly; blocks of other installed stores ignored; unknown names fail (e.g. datasets.country.splitz)</t>
  </si>
  <si>
    <t xml:space="preserve">Switch store-type with one line</t>
  </si>
  <si>
    <t xml:space="preserve">DataStore.Builder.storeBlock()</t>
  </si>
  <si>
    <t xml:space="preserve">C023</t>
  </si>
  <si>
    <t xml:space="preserve">Effective settings logged per dataset</t>
  </si>
  <si>
    <t xml:space="preserve">Startup log lists id source, storage-mode, policy, on-missing-target, require-complete, local-cache, splits and merged store block</t>
  </si>
  <si>
    <t xml:space="preserve">Make inheritance visible</t>
  </si>
  <si>
    <t xml:space="preserve">C024</t>
  </si>
  <si>
    <t xml:space="preserve">Placeholders</t>
  </si>
  <si>
    <t xml:space="preserve">${NAME} / ${NAME:default} from system properties then env, or Spring Environment</t>
  </si>
  <si>
    <t xml:space="preserve">Partition and store-type from environment</t>
  </si>
  <si>
    <t xml:space="preserve">DataStore.Builder.resolvePlaceholders</t>
  </si>
  <si>
    <t xml:space="preserve">C025</t>
  </si>
  <si>
    <t xml:space="preserve">Ignite cache settings per dataset</t>
  </si>
  <si>
    <t xml:space="preserve">backups, data-region, default-splits at store level</t>
  </si>
  <si>
    <t xml:space="preserve">Store level: addresses, partition-awareness, timeout-millis. Dataset level (and dataset-defaults.ignite): cache-mode, atomicity-mode, backups, data-region, group-name, read-from-backup, write-synchronization-mode, partition-loss-policy, rebalance-mode, rebalance-batch-size, copy-on-read, statistics-enabled, affinity-field, ignite-cache-partitions</t>
  </si>
  <si>
    <t xml:space="preserve">Requested: all possible config at dataset level</t>
  </si>
  <si>
    <t xml:space="preserve">C026</t>
  </si>
  <si>
    <t xml:space="preserve">Chronicle settings kept as they were</t>
  </si>
  <si>
    <t xml:space="preserve">Store level: base-dir, default-splits, headroom, segments-per-split. Dataset level: entries, avg-value-bytes, avg-key-bytes (can now also be set in dataset-defaults.chronicle)</t>
  </si>
  <si>
    <t xml:space="preserve">Requested: keep Chronicle as is</t>
  </si>
  <si>
    <t xml:space="preserve">C027</t>
  </si>
  <si>
    <t xml:space="preserve">Caffeine dropped</t>
  </si>
  <si>
    <t xml:space="preserve">Caffeine local cache with max size</t>
  </si>
  <si>
    <t xml:space="preserve">No Caffeine dependency</t>
  </si>
  <si>
    <t xml:space="preserve">build files, Dao.java</t>
  </si>
  <si>
    <t xml:space="preserve">C028</t>
  </si>
  <si>
    <t xml:space="preserve">local-cache is an unbounded ConcurrentHashMap</t>
  </si>
  <si>
    <t xml:space="preserve">local-cache: { enabled, max-entries }</t>
  </si>
  <si>
    <t xml:space="preserve">local-cache: true | false; caches encoded bytes per dataset per JVM; no cap, no eviction</t>
  </si>
  <si>
    <t xml:space="preserve">Requested: drop cap, keep unlimited</t>
  </si>
  <si>
    <t xml:space="preserve">Dao.java</t>
  </si>
  <si>
    <t xml:space="preserve">C029</t>
  </si>
  <si>
    <t xml:space="preserve">Custom keys always supported</t>
  </si>
  <si>
    <t xml:space="preserve">Long/Integer/String only</t>
  </si>
  <si>
    <t xml:space="preserve">Simple types or records / final classes with final simple fields and equals/hashCode; deterministic KeyCodec</t>
  </si>
  <si>
    <t xml:space="preserve">Requested: custom key classes</t>
  </si>
  <si>
    <t xml:space="preserve">spi/KeyCodec.java</t>
  </si>
  <si>
    <t xml:space="preserve">Composite key from several fields in YAML</t>
  </si>
  <si>
    <t xml:space="preserve">id: [tradeId, legNo] with key: &lt;class&gt;</t>
  </si>
  <si>
    <t xml:space="preserve">Existing classes without a key object</t>
  </si>
  <si>
    <t xml:space="preserve">C031</t>
  </si>
  <si>
    <t xml:space="preserve">Split by stable hash of encoded key</t>
  </si>
  <si>
    <t xml:space="preserve">Split by key.hashCode()</t>
  </si>
  <si>
    <t xml:space="preserve">Hash of KeyCodec bytes (enum hashCode differs between JVMs)</t>
  </si>
  <si>
    <t xml:space="preserve">Correctness across JVMs</t>
  </si>
  <si>
    <t xml:space="preserve">C032</t>
  </si>
  <si>
    <t xml:space="preserve">Key layout change detected</t>
  </si>
  <si>
    <t xml:space="preserve">key-fingerprint stored per dataset; opening with a changed key class fails with a clear message</t>
  </si>
  <si>
    <t xml:space="preserve">Avoid silent corruption</t>
  </si>
  <si>
    <t xml:space="preserve">C033</t>
  </si>
  <si>
    <t xml:space="preserve">Portable key components</t>
  </si>
  <si>
    <t xml:space="preserve">Enums -&gt; name, LocalDate/LocalTime -&gt; long, LocalDateTime/Instant/BigInteger -&gt; String inside BinaryObject keys</t>
  </si>
  <si>
    <t xml:space="preserve">Ignite binary keys must be portable and deterministic</t>
  </si>
  <si>
    <t xml:space="preserve">@Id and @Lookup optional; YAML equivalent</t>
  </si>
  <si>
    <t xml:space="preserve">Lookup&lt;T&gt; wrapper type</t>
  </si>
  <si>
    <t xml:space="preserve">Annotations or YAML (id:, lookups:); domain libs need core only as compileOnly, or nothing with YAML</t>
  </si>
  <si>
    <t xml:space="preserve">Requested: annotations instead of wrapper, existing domain libs</t>
  </si>
  <si>
    <t xml:space="preserve">annotation/*.java</t>
  </si>
  <si>
    <t xml:space="preserve">C035</t>
  </si>
  <si>
    <t xml:space="preserve">@Lookup(resolve=) -&gt; @Lookup(resolvePolicy=)</t>
  </si>
  <si>
    <t xml:space="preserve">resolve attribute</t>
  </si>
  <si>
    <t xml:space="preserve">resolvePolicy attribute (same meaning as YAML lookup-resolve-policy)</t>
  </si>
  <si>
    <t xml:space="preserve">Consistent naming</t>
  </si>
  <si>
    <t xml:space="preserve">annotation/Lookup.java</t>
  </si>
  <si>
    <t xml:space="preserve">C036</t>
  </si>
  <si>
    <t xml:space="preserve">Lookup&lt;T&gt; wrapper removed</t>
  </si>
  <si>
    <t xml:space="preserve">Lookup&lt;T&gt; field type</t>
  </si>
  <si>
    <t xml:space="preserve">Plain id fields (single or collection) with @Lookup or YAML</t>
  </si>
  <si>
    <t xml:space="preserve">One approach only</t>
  </si>
  <si>
    <t xml:space="preserve">Datasets declare only direct members; target drives the next level</t>
  </si>
  <si>
    <t xml:space="preserve">Each dataset lists its own lookups; the target dataset's own lookups are used for the next level</t>
  </si>
  <si>
    <t xml:space="preserve">DataStore.Builder.buildLinks()</t>
  </si>
  <si>
    <t xml:space="preserve">C038</t>
  </si>
  <si>
    <t xml:space="preserve">EAGER / LAZY resolve policy</t>
  </si>
  <si>
    <t xml:space="preserve">EAGER fills into fields on every DAO read; LAZY on request via LookupResolver; per-call override Resolve.EAGER / LAZY</t>
  </si>
  <si>
    <t xml:space="preserve">Requested: resolve policy per lookup</t>
  </si>
  <si>
    <t xml:space="preserve">Dao.java, lookup/LookupResolver.java</t>
  </si>
  <si>
    <t xml:space="preserve">C039</t>
  </si>
  <si>
    <t xml:space="preserve">Full-depth resolution</t>
  </si>
  <si>
    <t xml:space="preserve">Depth-limited in an earlier plan</t>
  </si>
  <si>
    <t xml:space="preserve">Whatever is resolved is resolved to any depth; max-depth optional (0 = unlimited)</t>
  </si>
  <si>
    <t xml:space="preserve">Requested: eager or resolve means all n depth</t>
  </si>
  <si>
    <t xml:space="preserve">lookup/LookupResolver.java</t>
  </si>
  <si>
    <t xml:space="preserve">C040</t>
  </si>
  <si>
    <t xml:space="preserve">Bulk per level</t>
  </si>
  <si>
    <t xml:space="preserve">One getAll per target dataset per level, datasets of a level in parallel; verified by call-counting test</t>
  </si>
  <si>
    <t xml:space="preserve">Avoid N+1 at 10M scale</t>
  </si>
  <si>
    <t xml:space="preserve">C041</t>
  </si>
  <si>
    <t xml:space="preserve">Cycles terminate and reuse objects</t>
  </si>
  <si>
    <t xml:space="preserve">Per-call identity map; page objects reused when a lookup points back at them</t>
  </si>
  <si>
    <t xml:space="preserve">Customer -&gt; primaryOrder -&gt; Order cycles</t>
  </si>
  <si>
    <t xml:space="preserve">LookupResolver utility</t>
  </si>
  <si>
    <t xml:space="preserve">resolve(page) (all), resolve(page, names...), scope(page) (lazy, page-wide on first get), resolve(one)</t>
  </si>
  <si>
    <t xml:space="preserve">Requested: resolve all in one go or on need</t>
  </si>
  <si>
    <t xml:space="preserve">lookup/LookupResolver.java, lookup/LookupResult.java</t>
  </si>
  <si>
    <t xml:space="preserve">C043</t>
  </si>
  <si>
    <t xml:space="preserve">Single findById warning</t>
  </si>
  <si>
    <t xml:space="preserve">Warn once per dataset after single-read-warn single reads resolving EAGER lookups</t>
  </si>
  <si>
    <t xml:space="preserve">Guard against N+1 loops</t>
  </si>
  <si>
    <t xml:space="preserve">C044</t>
  </si>
  <si>
    <t xml:space="preserve">Storage modes</t>
  </si>
  <si>
    <t xml:space="preserve">REFERENCE mode</t>
  </si>
  <si>
    <t xml:space="preserve">Only ids stored; into fields left out of a copy (caller object untouched); id filled from into object if empty; mismatch fails</t>
  </si>
  <si>
    <t xml:space="preserve">Older apps keep full objects; data-store apps store keys</t>
  </si>
  <si>
    <t xml:space="preserve">EMBEDDED mode</t>
  </si>
  <si>
    <t xml:space="preserve">Whole object graph stored; Fory reference tracking for cycles; only empty into fields resolved</t>
  </si>
  <si>
    <t xml:space="preserve">Requested: option to store complete objects</t>
  </si>
  <si>
    <t xml:space="preserve">internal/Model.java, DataStore.java</t>
  </si>
  <si>
    <t xml:space="preserve">C046</t>
  </si>
  <si>
    <t xml:space="preserve">REFERENCE implemented as path copy, not field skipping</t>
  </si>
  <si>
    <t xml:space="preserve">Plan: codec skips into fields</t>
  </si>
  <si>
    <t xml:space="preserve">Copies only objects along paths that hold into fields, nulls them in the copy, encodes the copy</t>
  </si>
  <si>
    <t xml:space="preserve">Fory per-dataset field skipping could not be confirmed</t>
  </si>
  <si>
    <t xml:space="preserve">Implemented (changed from plan)</t>
  </si>
  <si>
    <t xml:space="preserve">C047</t>
  </si>
  <si>
    <t xml:space="preserve">Manifest as commit point</t>
  </si>
  <si>
    <t xml:space="preserve">CREATED / LOADING / COMPLETE / FAILED per dataset per partition with record count; requireComplete(...)</t>
  </si>
  <si>
    <t xml:space="preserve">Manifest.java</t>
  </si>
  <si>
    <t xml:space="preserve">C048</t>
  </si>
  <si>
    <t xml:space="preserve">createAll / reset / destroyPartition</t>
  </si>
  <si>
    <t xml:space="preserve">createAll idempotent; reset clears one dataset; destroyPartition refuses own partition and in-use partitions (Chronicle file lock)</t>
  </si>
  <si>
    <t xml:space="preserve">Reruns and cleanup</t>
  </si>
  <si>
    <t xml:space="preserve">DataStore.java, spi/FileLocks.java</t>
  </si>
  <si>
    <t xml:space="preserve">C049</t>
  </si>
  <si>
    <t xml:space="preserve">Partition locks</t>
  </si>
  <si>
    <t xml:space="preserve">Shared lock per job; exclusive for destroy; Chronicle uses OS file locks; Ignite has none (thin client)</t>
  </si>
  <si>
    <t xml:space="preserve">Never delete under a running job</t>
  </si>
  <si>
    <t xml:space="preserve">spi/FileLocks.java</t>
  </si>
  <si>
    <t xml:space="preserve">Integration</t>
  </si>
  <si>
    <t xml:space="preserve">ExecutorContext for Flink / Spark</t>
  </si>
  <si>
    <t xml:space="preserve">One Spring context per executor JVM; Flink release hook; Spark lazy init</t>
  </si>
  <si>
    <t xml:space="preserve">Consumers include Flink/Spark executors running Spring</t>
  </si>
  <si>
    <t xml:space="preserve">spring/ExecutorContext.java</t>
  </si>
  <si>
    <t xml:space="preserve">C051</t>
  </si>
  <si>
    <t xml:space="preserve">Programmatic builder for tests</t>
  </si>
  <si>
    <t xml:space="preserve">DataStore.builder().namespace().partition().dataset(name, class, cfg -&gt; ...)</t>
  </si>
  <si>
    <t xml:space="preserve">Unit tests without YAML</t>
  </si>
  <si>
    <t xml:space="preserve">DataStore.Builder</t>
  </si>
  <si>
    <t xml:space="preserve">C052</t>
  </si>
  <si>
    <t xml:space="preserve">Testing</t>
  </si>
  <si>
    <t xml:space="preserve">Contract tests published as test fixtures</t>
  </si>
  <si>
    <t xml:space="preserve">DataStoreContractTest (22 cases) run by every store incl. custom ones</t>
  </si>
  <si>
    <t xml:space="preserve">Same behaviour on all stores</t>
  </si>
  <si>
    <t xml:space="preserve">testFixtures/.../DataStoreContractTest.java</t>
  </si>
  <si>
    <t xml:space="preserve">Samples</t>
  </si>
  <si>
    <t xml:space="preserve">samples</t>
  </si>
  <si>
    <t xml:space="preserve">Sample domain lib and Spring app</t>
  </si>
  <si>
    <t xml:space="preserve">Existing-style domain (annotations + YAML-only class); pipeline create -&gt; reference -&gt; orders -&gt; enrich -&gt; export; JUnit test on memory</t>
  </si>
  <si>
    <t xml:space="preserve">Requested: sample Spring consumer app</t>
  </si>
  <si>
    <t xml:space="preserve">samples/**</t>
  </si>
  <si>
    <t xml:space="preserve">Key</t>
  </si>
  <si>
    <t xml:space="preserve">Level</t>
  </si>
  <si>
    <t xml:space="preserve">Type</t>
  </si>
  <si>
    <t xml:space="preserve">Default</t>
  </si>
  <si>
    <t xml:space="preserve">Allowed in dataset-defaults</t>
  </si>
  <si>
    <t xml:space="preserve">Store</t>
  </si>
  <si>
    <t xml:space="preserve">Description</t>
  </si>
  <si>
    <t xml:space="preserve">datastore.store-type</t>
  </si>
  <si>
    <t xml:space="preserve">Whole store</t>
  </si>
  <si>
    <t xml:space="preserve">string</t>
  </si>
  <si>
    <t xml:space="preserve">memory</t>
  </si>
  <si>
    <t xml:space="preserve">No</t>
  </si>
  <si>
    <t xml:space="preserve">memory | chronicle | ignite | fully-qualified Store class name</t>
  </si>
  <si>
    <t xml:space="preserve">datastore.namespace</t>
  </si>
  <si>
    <t xml:space="preserve">(required)</t>
  </si>
  <si>
    <t xml:space="preserve">Owner of the data; isolates pipelines/teams sharing a host or cluster. [A-Za-z][A-Za-z0-9-]*</t>
  </si>
  <si>
    <t xml:space="preserve">datastore.partition.parts</t>
  </si>
  <si>
    <t xml:space="preserve">map</t>
  </si>
  <si>
    <t xml:space="preserve">Named parts joined with '_' in order → partition (e.g. NA_20261018). Each part [A-Za-z0-9-]+</t>
  </si>
  <si>
    <t xml:space="preserve">datastore.lookup-resolver.parallelism</t>
  </si>
  <si>
    <t xml:space="preserve">int</t>
  </si>
  <si>
    <t xml:space="preserve">4</t>
  </si>
  <si>
    <t xml:space="preserve">Target datasets fetched in parallel per level</t>
  </si>
  <si>
    <t xml:space="preserve">datastore.lookup-resolver.page-size</t>
  </si>
  <si>
    <t xml:space="preserve">1000</t>
  </si>
  <si>
    <t xml:space="preserve">Page size when streaming with EAGER lookups</t>
  </si>
  <si>
    <t xml:space="preserve">datastore.lookup-resolver.max-depth</t>
  </si>
  <si>
    <t xml:space="preserve">0</t>
  </si>
  <si>
    <t xml:space="preserve">0 = unlimited (full graph)</t>
  </si>
  <si>
    <t xml:space="preserve">datastore.lookup-resolver.single-read-warn</t>
  </si>
  <si>
    <t xml:space="preserve">10000</t>
  </si>
  <si>
    <t xml:space="preserve">Warn once per dataset after N single findById calls resolving EAGER lookups; 0 = off</t>
  </si>
  <si>
    <t xml:space="preserve">datastore.extra-classes</t>
  </si>
  <si>
    <t xml:space="preserve">list</t>
  </si>
  <si>
    <t xml:space="preserve">[]</t>
  </si>
  <si>
    <t xml:space="preserve">Classes the codec must know that are not reachable from dataset values (e.g. subclasses)</t>
  </si>
  <si>
    <t xml:space="preserve">datastore.&lt;store&gt;</t>
  </si>
  <si>
    <t xml:space="preserve">block</t>
  </si>
  <si>
    <t xml:space="preserve">per store</t>
  </si>
  <si>
    <t xml:space="preserve">Store-level settings; only the active store's block is validated</t>
  </si>
  <si>
    <t xml:space="preserve">storage-mode</t>
  </si>
  <si>
    <t xml:space="preserve">Dataset</t>
  </si>
  <si>
    <t xml:space="preserve">enum</t>
  </si>
  <si>
    <t xml:space="preserve">REFERENCE</t>
  </si>
  <si>
    <t xml:space="preserve">Yes</t>
  </si>
  <si>
    <t xml:space="preserve">REFERENCE (ids only) | EMBEDDED (whole graph)</t>
  </si>
  <si>
    <t xml:space="preserve">lookup-resolve-policy</t>
  </si>
  <si>
    <t xml:space="preserve">LAZY</t>
  </si>
  <si>
    <t xml:space="preserve">Default policy of this dataset's lookups: EAGER | LAZY</t>
  </si>
  <si>
    <t xml:space="preserve">FAIL</t>
  </si>
  <si>
    <t xml:space="preserve">When this dataset is a lookup TARGET and an id has no object: FAIL | NULL</t>
  </si>
  <si>
    <t xml:space="preserve">require-complete</t>
  </si>
  <si>
    <t xml:space="preserve">boolean</t>
  </si>
  <si>
    <t xml:space="preserve">false</t>
  </si>
  <si>
    <t xml:space="preserve">Refuse lookups into this dataset until its manifest status is COMPLETE</t>
  </si>
  <si>
    <t xml:space="preserve">splits</t>
  </si>
  <si>
    <t xml:space="preserve">store default</t>
  </si>
  <si>
    <t xml:space="preserve">Parallel scan splits (Chronicle: files; Ignite: groups of cache partitions; memory: hash groups)</t>
  </si>
  <si>
    <t xml:space="preserve">local-cache</t>
  </si>
  <si>
    <t xml:space="preserve">Unbounded per-JVM ConcurrentHashMap of encoded values; for reference data</t>
  </si>
  <si>
    <t xml:space="preserve">&lt;store&gt;</t>
  </si>
  <si>
    <t xml:space="preserve">Yes (merged per field)</t>
  </si>
  <si>
    <t xml:space="preserve">Dataset-level settings of the store</t>
  </si>
  <si>
    <t xml:space="preserve">value</t>
  </si>
  <si>
    <t xml:space="preserve">class</t>
  </si>
  <si>
    <t xml:space="preserve">Domain class stored in the dataset</t>
  </si>
  <si>
    <t xml:space="preserve">key</t>
  </si>
  <si>
    <t xml:space="preserve">inferred</t>
  </si>
  <si>
    <t xml:space="preserve">Key class; required when id lists several fields</t>
  </si>
  <si>
    <t xml:space="preserve">id</t>
  </si>
  <si>
    <t xml:space="preserve">string | list</t>
  </si>
  <si>
    <t xml:space="preserve">@Id field</t>
  </si>
  <si>
    <t xml:space="preserve">Id field, or list of fields building a composite key</t>
  </si>
  <si>
    <t xml:space="preserve">lookups[].field</t>
  </si>
  <si>
    <t xml:space="preserve">Lookup</t>
  </si>
  <si>
    <t xml:space="preserve">path</t>
  </si>
  <si>
    <t xml:space="preserve">Id field path from the value (e.g. customerId, lines.sku)</t>
  </si>
  <si>
    <t xml:space="preserve">lookups[].target</t>
  </si>
  <si>
    <t xml:space="preserve">dataset</t>
  </si>
  <si>
    <t xml:space="preserve">Target dataset name</t>
  </si>
  <si>
    <t xml:space="preserve">lookups[].into</t>
  </si>
  <si>
    <t xml:space="preserve">field</t>
  </si>
  <si>
    <t xml:space="preserve">Sibling field receiving the resolved object(s); required for EAGER</t>
  </si>
  <si>
    <t xml:space="preserve">lookups[].name</t>
  </si>
  <si>
    <t xml:space="preserve">into path or field path</t>
  </si>
  <si>
    <t xml:space="preserve">Name used in LookupResolver.resolve(page, name)</t>
  </si>
  <si>
    <t xml:space="preserve">lookups[].lookup-resolve-policy</t>
  </si>
  <si>
    <t xml:space="preserve">DEFAULT</t>
  </si>
  <si>
    <t xml:space="preserve">EAGER | LAZY; DEFAULT inherits dataset → dataset-defaults → LAZY</t>
  </si>
  <si>
    <t xml:space="preserve">Setting</t>
  </si>
  <si>
    <t xml:space="preserve">Notes</t>
  </si>
  <si>
    <t xml:space="preserve">base-dir</t>
  </si>
  <si>
    <t xml:space="preserve">Root: &lt;base-dir&gt;/&lt;namespace&gt;/&lt;partition&gt;/&lt;dataset&gt;/split-NNNN.cm; lock files live here</t>
  </si>
  <si>
    <t xml:space="preserve">default-splits</t>
  </si>
  <si>
    <t xml:space="preserve">16</t>
  </si>
  <si>
    <t xml:space="preserve">Splits when neither dataset nor dataset-defaults sets splits</t>
  </si>
  <si>
    <t xml:space="preserve">headroom</t>
  </si>
  <si>
    <t xml:space="preserve">1.2</t>
  </si>
  <si>
    <t xml:space="preserve">Capacity per split = entries × headroom ÷ splits</t>
  </si>
  <si>
    <t xml:space="preserve">segments-per-split</t>
  </si>
  <si>
    <t xml:space="preserve">0 (Chronicle default)</t>
  </si>
  <si>
    <t xml:space="preserve">ChronicleMapBuilder.actualSegments</t>
  </si>
  <si>
    <t xml:space="preserve">entries</t>
  </si>
  <si>
    <t xml:space="preserve">Expected total entries</t>
  </si>
  <si>
    <t xml:space="preserve">avg-value-bytes</t>
  </si>
  <si>
    <t xml:space="preserve">Average encoded value size; measure a real day</t>
  </si>
  <si>
    <t xml:space="preserve">avg-key-bytes</t>
  </si>
  <si>
    <t xml:space="preserve">computed if fixed size</t>
  </si>
  <si>
    <t xml:space="preserve">Required for variable-size keys (e.g. String)</t>
  </si>
  <si>
    <t xml:space="preserve">addresses</t>
  </si>
  <si>
    <t xml:space="preserve">Thin client addresses; one client per JVM</t>
  </si>
  <si>
    <t xml:space="preserve">partition-awareness</t>
  </si>
  <si>
    <t xml:space="preserve">true</t>
  </si>
  <si>
    <t xml:space="preserve">Send requests straight to the owning node</t>
  </si>
  <si>
    <t xml:space="preserve">timeout-millis</t>
  </si>
  <si>
    <t xml:space="preserve">Client timeout; 0 = Ignite default</t>
  </si>
  <si>
    <t xml:space="preserve">cache-mode</t>
  </si>
  <si>
    <t xml:space="preserve">PARTITIONED</t>
  </si>
  <si>
    <t xml:space="preserve">PARTITIONED | REPLICATED</t>
  </si>
  <si>
    <t xml:space="preserve">atomicity-mode</t>
  </si>
  <si>
    <t xml:space="preserve">ATOMIC</t>
  </si>
  <si>
    <t xml:space="preserve">ATOMIC | TRANSACTIONAL</t>
  </si>
  <si>
    <t xml:space="preserve">backups</t>
  </si>
  <si>
    <t xml:space="preserve">1</t>
  </si>
  <si>
    <t xml:space="preserve">Ignored for REPLICATED</t>
  </si>
  <si>
    <t xml:space="preserve">data-region</t>
  </si>
  <si>
    <t xml:space="preserve">Ignite data region name</t>
  </si>
  <si>
    <t xml:space="preserve">group-name</t>
  </si>
  <si>
    <t xml:space="preserve">Cache group</t>
  </si>
  <si>
    <t xml:space="preserve">read-from-backup</t>
  </si>
  <si>
    <t xml:space="preserve">Ignite default</t>
  </si>
  <si>
    <t xml:space="preserve">write-synchronization-mode</t>
  </si>
  <si>
    <t xml:space="preserve">FULL_SYNC | FULL_ASYNC | PRIMARY_SYNC</t>
  </si>
  <si>
    <t xml:space="preserve">partition-loss-policy</t>
  </si>
  <si>
    <t xml:space="preserve">READ_ONLY_SAFE | READ_WRITE_SAFE | IGNORE</t>
  </si>
  <si>
    <t xml:space="preserve">rebalance-mode</t>
  </si>
  <si>
    <t xml:space="preserve">SYNC | ASYNC | NONE</t>
  </si>
  <si>
    <t xml:space="preserve">rebalance-batch-size</t>
  </si>
  <si>
    <t xml:space="preserve">copy-on-read</t>
  </si>
  <si>
    <t xml:space="preserve">statistics-enabled</t>
  </si>
  <si>
    <t xml:space="preserve">affinity-field</t>
  </si>
  <si>
    <t xml:space="preserve">A component of a composite key; colocates entries with equal values</t>
  </si>
  <si>
    <t xml:space="preserve">ignite-cache-partitions</t>
  </si>
  <si>
    <t xml:space="preserve">1024</t>
  </si>
  <si>
    <t xml:space="preserve">Used to build scan splits; must match the cluster's affinity configuration</t>
  </si>
  <si>
    <t xml:space="preserve">Store / Dataset</t>
  </si>
  <si>
    <t xml:space="preserve">(none)</t>
  </si>
  <si>
    <t xml:space="preserve">No settings; a block for memory is an error</t>
  </si>
  <si>
    <t xml:space="preserve">Package</t>
  </si>
  <si>
    <t xml:space="preserve">Class</t>
  </si>
  <si>
    <t xml:space="preserve">Kind</t>
  </si>
  <si>
    <t xml:space="preserve">Role</t>
  </si>
  <si>
    <t xml:space="preserve">Visibility</t>
  </si>
  <si>
    <t xml:space="preserve">data-store-core</t>
  </si>
  <si>
    <t xml:space="preserve">com.acme.datastore</t>
  </si>
  <si>
    <t xml:space="preserve">DataStore</t>
  </si>
  <si>
    <t xml:space="preserve">Entry point: builder, startup validation, DAOs, lifecycle</t>
  </si>
  <si>
    <t xml:space="preserve">Public API</t>
  </si>
  <si>
    <t xml:space="preserve">Dao</t>
  </si>
  <si>
    <t xml:space="preserve">Data access for one dataset: find, findAll, save, pages, streamSplit</t>
  </si>
  <si>
    <t xml:space="preserve">Manifest</t>
  </si>
  <si>
    <t xml:space="preserve">Per-partition dataset status (commit point between jobs)</t>
  </si>
  <si>
    <t xml:space="preserve">DataStoreException</t>
  </si>
  <si>
    <t xml:space="preserve">Unchecked library exception</t>
  </si>
  <si>
    <t xml:space="preserve">com.acme.datastore.annotation</t>
  </si>
  <si>
    <t xml:space="preserve">Id</t>
  </si>
  <si>
    <t xml:space="preserve">annotation</t>
  </si>
  <si>
    <t xml:space="preserve">Optional id marker</t>
  </si>
  <si>
    <t xml:space="preserve">Optional lookup declaration (dataset/target, into, name, resolvePolicy)</t>
  </si>
  <si>
    <t xml:space="preserve">Resolve</t>
  </si>
  <si>
    <t xml:space="preserve">DEFAULT | EAGER | LAZY (config and per-call override)</t>
  </si>
  <si>
    <t xml:space="preserve">com.acme.datastore.config</t>
  </si>
  <si>
    <t xml:space="preserve">DataStoreConfig</t>
  </si>
  <si>
    <t xml:space="preserve">YAML/JSON model incl. dataset-defaults merge and parsing</t>
  </si>
  <si>
    <t xml:space="preserve">com.acme.datastore.lookup</t>
  </si>
  <si>
    <t xml:space="preserve">LookupResolver</t>
  </si>
  <si>
    <t xml:space="preserve">Bulk, full-depth lookup resolution engine</t>
  </si>
  <si>
    <t xml:space="preserve">LookupResult</t>
  </si>
  <si>
    <t xml:space="preserve">Page-scoped lookup results / lazy scope</t>
  </si>
  <si>
    <t xml:space="preserve">com.acme.datastore.spi</t>
  </si>
  <si>
    <t xml:space="preserve">interface</t>
  </si>
  <si>
    <t xml:space="preserve">Storage backend SPI</t>
  </si>
  <si>
    <t xml:space="preserve">SPI</t>
  </si>
  <si>
    <t xml:space="preserve">StoreMap</t>
  </si>
  <si>
    <t xml:space="preserve">One dataset of one partition (bytes)</t>
  </si>
  <si>
    <t xml:space="preserve">DatasetSpec</t>
  </si>
  <si>
    <t xml:space="preserve">What a store knows about a dataset</t>
  </si>
  <si>
    <t xml:space="preserve">KeyCodec</t>
  </si>
  <si>
    <t xml:space="preserve">Deterministic key encoding, values, hash, splits</t>
  </si>
  <si>
    <t xml:space="preserve">FileLocks</t>
  </si>
  <si>
    <t xml:space="preserve">Cross-process partition locks (OS file locks)</t>
  </si>
  <si>
    <t xml:space="preserve">com.acme.datastore.store</t>
  </si>
  <si>
    <t xml:space="preserve">Built-in default store (ConcurrentHashMap)</t>
  </si>
  <si>
    <t xml:space="preserve">com.acme.datastore.spring</t>
  </si>
  <si>
    <t xml:space="preserve">DataStoreConfiguration</t>
  </si>
  <si>
    <t xml:space="preserve">Plain Spring @Configuration</t>
  </si>
  <si>
    <t xml:space="preserve">One Spring context per Flink/Spark executor JVM</t>
  </si>
  <si>
    <t xml:space="preserve">com.acme.datastore.internal</t>
  </si>
  <si>
    <t xml:space="preserve">Model</t>
  </si>
  <si>
    <t xml:space="preserve">Domain model, lookup paths, strip copy, hydration</t>
  </si>
  <si>
    <t xml:space="preserve">Internal (not API)</t>
  </si>
  <si>
    <t xml:space="preserve">data-store-chronicle</t>
  </si>
  <si>
    <t xml:space="preserve">com.acme.datastore.chronicle</t>
  </si>
  <si>
    <t xml:space="preserve">ChronicleStore</t>
  </si>
  <si>
    <t xml:space="preserve">Chronicle Map store (settings nested)</t>
  </si>
  <si>
    <t xml:space="preserve">data-store-ignite</t>
  </si>
  <si>
    <t xml:space="preserve">com.acme.datastore.ignite</t>
  </si>
  <si>
    <t xml:space="preserve">Ignite 2 thin-client store (settings nested)</t>
  </si>
  <si>
    <t xml:space="preserve">sample-domain</t>
  </si>
  <si>
    <t xml:space="preserve">com.acme.sample.domain</t>
  </si>
  <si>
    <t xml:space="preserve">Region, Customer, Product, Order, OrderLine, Position, PositionKey</t>
  </si>
  <si>
    <t xml:space="preserve">classes / record</t>
  </si>
  <si>
    <t xml:space="preserve">Existing-style domain lib (compileOnly on core)</t>
  </si>
  <si>
    <t xml:space="preserve">Sample</t>
  </si>
  <si>
    <t xml:space="preserve">sample-app</t>
  </si>
  <si>
    <t xml:space="preserve">com.acme.sample.app</t>
  </si>
  <si>
    <t xml:space="preserve">AppConfig, SampleApp, Pipeline</t>
  </si>
  <si>
    <t xml:space="preserve">classes</t>
  </si>
  <si>
    <t xml:space="preserve">Plain Spring 7 consumer app + PipelineTest</t>
  </si>
  <si>
    <t xml:space="preserve">Suite</t>
  </si>
  <si>
    <t xml:space="preserve">Test</t>
  </si>
  <si>
    <t xml:space="preserve">Verifies</t>
  </si>
  <si>
    <t xml:space="preserve">Memory</t>
  </si>
  <si>
    <t xml:space="preserve">Custom (CountingStore)</t>
  </si>
  <si>
    <t xml:space="preserve">Chronicle</t>
  </si>
  <si>
    <t xml:space="preserve">Ignite</t>
  </si>
  <si>
    <t xml:space="preserve">Contract (DataStoreContractTest)</t>
  </si>
  <si>
    <t xml:space="preserve">roundTripAndMissingKey</t>
  </si>
  <si>
    <t xml:space="preserve">Save/read one object; missing key empty; count</t>
  </si>
  <si>
    <t xml:space="preserve">PASS</t>
  </si>
  <si>
    <t xml:space="preserve">bulkReadReturnsOnlyFoundKeys</t>
  </si>
  <si>
    <t xml:space="preserve">findAllById returns only found ids</t>
  </si>
  <si>
    <t xml:space="preserve">readsAreCopies</t>
  </si>
  <si>
    <t xml:space="preserve">Each read returns a new instance</t>
  </si>
  <si>
    <t xml:space="preserve">overwriteDeleteAndReset</t>
  </si>
  <si>
    <t xml:space="preserve">Overwrite same id, delete, reset dataset → CREATED</t>
  </si>
  <si>
    <t xml:space="preserve">splitsCoverTheDatasetExactlyOnce</t>
  </si>
  <si>
    <t xml:space="preserve">Splits are disjoint and cover all entries</t>
  </si>
  <si>
    <t xml:space="preserve">compositeRecordKeyWithEnum</t>
  </si>
  <si>
    <t xml:space="preserve">Record key with enum component; scan decodes keys</t>
  </si>
  <si>
    <t xml:space="preserve">id: [tradeId, legNo] builds a final-class key</t>
  </si>
  <si>
    <t xml:space="preserve">REFERENCE strips into fields, fills id from object, caller untouched</t>
  </si>
  <si>
    <t xml:space="preserve">referenceModeRejectsIdThatDisagreesWithObject</t>
  </si>
  <si>
    <t xml:space="preserve">Id/object mismatch fails on save</t>
  </si>
  <si>
    <t xml:space="preserve">EMBEDDED keeps full graph incl. cycle; readable after target dataset reset</t>
  </si>
  <si>
    <t xml:space="preserve">EAGER customer brings region and country (LAZY) — full depth</t>
  </si>
  <si>
    <t xml:space="preserve">cyclesTerminateAndReusePageObjects</t>
  </si>
  <si>
    <t xml:space="preserve">Order → customer → primaryOrder resolves to the same object</t>
  </si>
  <si>
    <t xml:space="preserve">perCallOverrides</t>
  </si>
  <si>
    <t xml:space="preserve">Resolve.LAZY skips; Resolve.EAGER resolves everything</t>
  </si>
  <si>
    <t xml:space="preserve">scope().get loads per page; resolve(names); collection lookups</t>
  </si>
  <si>
    <t xml:space="preserve">streamingResolvesEagerLookupsPerPage</t>
  </si>
  <si>
    <t xml:space="preserve">pages(split, size) resolves EAGER lookups</t>
  </si>
  <si>
    <t xml:space="preserve">missingTargetFailsByDefault</t>
  </si>
  <si>
    <t xml:space="preserve">on-missing-target FAIL</t>
  </si>
  <si>
    <t xml:space="preserve">missingTargetIsNullWhenConfigured</t>
  </si>
  <si>
    <t xml:space="preserve">on-missing-target NULL from dataset-defaults</t>
  </si>
  <si>
    <t xml:space="preserve">datasetOverridesDatasetDefaults</t>
  </si>
  <si>
    <t xml:space="preserve">Dataset on-missing-target NULL overrides defaults FAIL</t>
  </si>
  <si>
    <t xml:space="preserve">Manifest statuses and record counts</t>
  </si>
  <si>
    <t xml:space="preserve">openingBeforeCreateFails</t>
  </si>
  <si>
    <t xml:space="preserve">Datasets must be created first</t>
  </si>
  <si>
    <t xml:space="preserve">Partitions isolated, kept, destroyPartition, own partition protected</t>
  </si>
  <si>
    <t xml:space="preserve">secondStoreInSameJvmSeesTheSameData</t>
  </si>
  <si>
    <t xml:space="preserve">Two DataStore instances share data</t>
  </si>
  <si>
    <t xml:space="preserve">Core (DataStoreCoreTest)</t>
  </si>
  <si>
    <t xml:space="preserve">50 orders, EAGER: exactly one getAll per dataset, no single reads</t>
  </si>
  <si>
    <t xml:space="preserve">customStoreReceivesItsSettings</t>
  </si>
  <si>
    <t xml:space="preserve">Custom store by class name gets its own typed settings</t>
  </si>
  <si>
    <t xml:space="preserve">JSON config; partition from parts</t>
  </si>
  <si>
    <t xml:space="preserve">Unknown store, blocks for Void store, unknown block, unknown target, key type mismatch, EAGER without into, no id, bad key class, ambiguous target class</t>
  </si>
  <si>
    <t xml:space="preserve">datasetDefaultsAreValidated</t>
  </si>
  <si>
    <t xml:space="preserve">value in defaults rejected; unknown block rejected; splits inherited</t>
  </si>
  <si>
    <t xml:space="preserve">ambiguousClassNeedsDatasetName</t>
  </si>
  <si>
    <t xml:space="preserve">Same class in two datasets needs dataset name</t>
  </si>
  <si>
    <t xml:space="preserve">typoInYamlIsRejectedAtStartup</t>
  </si>
  <si>
    <t xml:space="preserve">datasets.country.splitz rejected</t>
  </si>
  <si>
    <t xml:space="preserve">Sample (PipelineTest)</t>
  </si>
  <si>
    <t xml:space="preserve">Production YAML on memory: lookups, composite key, CSV exports</t>
  </si>
  <si>
    <t xml:space="preserve">Topic</t>
  </si>
  <si>
    <t xml:space="preserve">Detail</t>
  </si>
  <si>
    <t xml:space="preserve">Decision</t>
  </si>
  <si>
    <t xml:space="preserve">One store per pipeline; no mixing</t>
  </si>
  <si>
    <t xml:space="preserve">Agreed</t>
  </si>
  <si>
    <t xml:space="preserve">store-type is a whole-store setting</t>
  </si>
  <si>
    <t xml:space="preserve">namespace vs partition</t>
  </si>
  <si>
    <t xml:space="preserve">Namespace = owner (fixed); partition = run (changes every run)</t>
  </si>
  <si>
    <t xml:space="preserve">Retention unlimited by default</t>
  </si>
  <si>
    <t xml:space="preserve">Delete via destroyPartition or manually</t>
  </si>
  <si>
    <t xml:space="preserve">Values encoded with Fory; keys with KeyCodec</t>
  </si>
  <si>
    <t xml:space="preserve">Fory &gt;= 1.1.0 required (CVE-2026-50076); 1.6.1 configured</t>
  </si>
  <si>
    <t xml:space="preserve">Codec class registration order</t>
  </si>
  <si>
    <t xml:space="preserve">Domain classes registered sorted by name; every JVM of a partition must load the same YAML</t>
  </si>
  <si>
    <t xml:space="preserve">into fields need mutable classes</t>
  </si>
  <si>
    <t xml:space="preserve">Classes on an into path in REFERENCE mode need a no-arg constructor and cannot be records (checked at startup)</t>
  </si>
  <si>
    <t xml:space="preserve">Same class in two datasets</t>
  </si>
  <si>
    <t xml:space="preserve">dao(Class) fails as ambiguous; use dao("name")</t>
  </si>
  <si>
    <t xml:space="preserve">Open item</t>
  </si>
  <si>
    <t xml:space="preserve">Build against real libraries</t>
  </si>
  <si>
    <t xml:space="preserve">Open</t>
  </si>
  <si>
    <t xml:space="preserve">Sandbox could not reach Maven Central; compiled and tested against hand-written stand-ins. Run ./gradlew build with Artifactory access</t>
  </si>
  <si>
    <t xml:space="preserve">API signatures to confirm</t>
  </si>
  <si>
    <t xml:space="preserve">Jackson 3 YAMLMapper, Fory 1.6 ThreadSafeFory, Chronicle Map builder, Ignite 2 thin client (ClientCacheConfiguration setters, ScanQuery, BinaryObjectBuilder)</t>
  </si>
  <si>
    <t xml:space="preserve">Cross-JVM Chronicle sharing</t>
  </si>
  <si>
    <t xml:space="preserve">Stand-in keeps data in one JVM; verify multiple JVMs on real files</t>
  </si>
  <si>
    <t xml:space="preserve">Live Ignite cluster</t>
  </si>
  <si>
    <t xml:space="preserve">./gradlew :data-store-ignite:test -Dignite.addresses=host:10800</t>
  </si>
  <si>
    <t xml:space="preserve">Chronicle Map version</t>
  </si>
  <si>
    <t xml:space="preserve">Central lists calendar version 2026.1; use your mirror's 3.x line if that is what it has</t>
  </si>
  <si>
    <t xml:space="preserve">Risk</t>
  </si>
  <si>
    <t xml:space="preserve">No distributed lock on Ignite</t>
  </si>
  <si>
    <t xml:space="preserve">Accepted</t>
  </si>
  <si>
    <t xml:space="preserve">destroyPartition on Ignite is not protected against jobs on other hosts; coordinate via scheduler</t>
  </si>
  <si>
    <t xml:space="preserve">Unbounded local-cache</t>
  </si>
  <si>
    <t xml:space="preserve">Enable only for datasets that fit in memory</t>
  </si>
  <si>
    <t xml:space="preserve">Key class changes</t>
  </si>
  <si>
    <t xml:space="preserve">Mitigated</t>
  </si>
  <si>
    <t xml:space="preserve">Use a new partition/namespace; Chronicle detects via key fingerprint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</si>
</sst>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hangeLog" displayName="ChangeLog" ref="A1:I54" headerRowCount="1" totalsRowCount="0" totalsRowShown="0">
  <autoFilter ref="A1:I54"/>
  <tableColumns count="9">
    <tableColumn id="1" name="ID"/>
    <tableColumn id="2" name="Area"/>
    <tableColumn id="3" name="Module"/>
    <tableColumn id="4" name="Change"/>
    <tableColumn id="5" name="Before"/>
    <tableColumn id="6" name="After / implemented"/>
    <tableColumn id="7" name="Why / requested"/>
    <tableColumn id="8" name="Main files"/>
    <tableColumn id="9" name="Status"/>
  </tableColumns>
</table>
</file>

<file path=xl/tables/table2.xml><?xml version="1.0" encoding="utf-8"?>
<table xmlns="http://schemas.openxmlformats.org/spreadsheetml/2006/main" id="2" name="Classes" displayName="Classes" ref="A1:F24" headerRowCount="1" totalsRowCount="0" totalsRowShown="0">
  <autoFilter ref="A1:F24"/>
  <tableColumns count="6">
    <tableColumn id="1" name="Module"/>
    <tableColumn id="2" name="Package"/>
    <tableColumn id="3" name="Class"/>
    <tableColumn id="4" name="Kind"/>
    <tableColumn id="5" name="Role"/>
    <tableColumn id="6" name="Visibility"/>
  </tableColumns>
</table>
</file>

<file path=xl/tables/table3.xml><?xml version="1.0" encoding="utf-8"?>
<table xmlns="http://schemas.openxmlformats.org/spreadsheetml/2006/main" id="3" name="Decisions" displayName="Decisions" ref="A1:D16" headerRowCount="1" totalsRowCount="0" totalsRowShown="0">
  <autoFilter ref="A1:D16"/>
  <tableColumns count="4">
    <tableColumn id="1" name="Type"/>
    <tableColumn id="2" name="Topic"/>
    <tableColumn id="3" name="Status"/>
    <tableColumn id="4" name="Detail"/>
  </tableColumns>
</table>
</file>

<file path=xl/tables/table4.xml><?xml version="1.0" encoding="utf-8"?>
<table xmlns="http://schemas.openxmlformats.org/spreadsheetml/2006/main" id="4" name="Requirements" displayName="Requirements" ref="A1:I42" headerRowCount="1" totalsRowCount="0" totalsRowShown="0">
  <autoFilter ref="A1:I42"/>
  <tableColumns count="9">
    <tableColumn id="1" name="Req ID"/>
    <tableColumn id="2" name="Category"/>
    <tableColumn id="3" name="Requirement"/>
    <tableColumn id="4" name="Source"/>
    <tableColumn id="5" name="Acceptance criteria"/>
    <tableColumn id="6" name="Implementation"/>
    <tableColumn id="7" name="Linked changes"/>
    <tableColumn id="8" name="Verifying tests"/>
    <tableColumn id="9" name="Status"/>
  </tableColumns>
</table>
</file>

<file path=xl/tables/table5.xml><?xml version="1.0" encoding="utf-8"?>
<table xmlns="http://schemas.openxmlformats.org/spreadsheetml/2006/main" id="5" name="StoreSettings" displayName="StoreSettings" ref="A1:E26" headerRowCount="1" totalsRowCount="0" totalsRowShown="0">
  <autoFilter ref="A1:E26"/>
  <tableColumns count="5">
    <tableColumn id="1" name="Store"/>
    <tableColumn id="2" name="Level"/>
    <tableColumn id="3" name="Setting"/>
    <tableColumn id="4" name="Default"/>
    <tableColumn id="5" name="Notes"/>
  </tableColumns>
</table>
</file>

<file path=xl/tables/table6.xml><?xml version="1.0" encoding="utf-8"?>
<table xmlns="http://schemas.openxmlformats.org/spreadsheetml/2006/main" id="6" name="Tests" displayName="Tests" ref="A1:G31" headerRowCount="1" totalsRowCount="0" totalsRowShown="0">
  <autoFilter ref="A1:G31"/>
  <tableColumns count="7">
    <tableColumn id="1" name="Suite"/>
    <tableColumn id="2" name="Test"/>
    <tableColumn id="3" name="Verifies"/>
    <tableColumn id="4" name="Memory"/>
    <tableColumn id="5" name="Custom (CountingStore)"/>
    <tableColumn id="6" name="Chronicle"/>
    <tableColumn id="7" name="Ignite"/>
  </tableColumns>
</table>
</file>

<file path=xl/tables/table7.xml><?xml version="1.0" encoding="utf-8"?>
<table xmlns="http://schemas.openxmlformats.org/spreadsheetml/2006/main" id="7" name="YamlReference" displayName="YamlReference" ref="A1:G25" headerRowCount="1" totalsRowCount="0" totalsRowShown="0">
  <autoFilter ref="A1:G25"/>
  <tableColumns count="7">
    <tableColumn id="1" name="Key"/>
    <tableColumn id="2" name="Level"/>
    <tableColumn id="3" name="Type"/>
    <tableColumn id="4" name="Default"/>
    <tableColumn id="5" name="Allowed in dataset-defaults"/>
    <tableColumn id="6" name="Store"/>
    <tableColumn id="7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COUNTA('Functional Requirements'!A2:A1000)</f>
        <v>41</v>
      </c>
      <c r="C5" s="6" t="s">
        <v>6</v>
      </c>
    </row>
    <row r="6" customFormat="false" ht="15" hidden="false" customHeight="false" outlineLevel="0" collapsed="false">
      <c r="A6" s="7" t="s">
        <v>7</v>
      </c>
      <c r="B6" s="5" t="n">
        <f aca="false">COUNTIF('Functional Requirements'!I2:I1000,"Met*")</f>
        <v>40</v>
      </c>
      <c r="C6" s="6" t="s">
        <v>8</v>
      </c>
    </row>
    <row r="7" customFormat="false" ht="15" hidden="false" customHeight="false" outlineLevel="0" collapsed="false">
      <c r="A7" s="7" t="s">
        <v>9</v>
      </c>
      <c r="B7" s="5" t="n">
        <f aca="false">COUNTIF('Functional Requirements'!I2:I1000,"Met (*verif*")+COUNTIF('Functional Requirements'!I2:I1000,"Met (needs*")</f>
        <v>4</v>
      </c>
      <c r="C7" s="6" t="s">
        <v>8</v>
      </c>
    </row>
    <row r="8" customFormat="false" ht="15" hidden="false" customHeight="false" outlineLevel="0" collapsed="false">
      <c r="A8" s="7" t="s">
        <v>10</v>
      </c>
      <c r="B8" s="5" t="n">
        <f aca="false">COUNTIF('Functional Requirements'!I2:I1000,"Implemented*")</f>
        <v>1</v>
      </c>
      <c r="C8" s="6" t="s">
        <v>8</v>
      </c>
    </row>
    <row r="9" customFormat="false" ht="15" hidden="false" customHeight="false" outlineLevel="0" collapsed="false">
      <c r="A9" s="4" t="s">
        <v>11</v>
      </c>
      <c r="B9" s="5" t="n">
        <f aca="false">COUNTA('Change Log'!A2:A1000)</f>
        <v>53</v>
      </c>
      <c r="C9" s="6" t="s">
        <v>12</v>
      </c>
    </row>
    <row r="10" customFormat="false" ht="15" hidden="false" customHeight="false" outlineLevel="0" collapsed="false">
      <c r="A10" s="7" t="s">
        <v>13</v>
      </c>
      <c r="B10" s="5" t="n">
        <f aca="false">COUNTIF('Change Log'!I2:I1000,"Implemented")</f>
        <v>52</v>
      </c>
      <c r="C10" s="6" t="s">
        <v>14</v>
      </c>
    </row>
    <row r="11" customFormat="false" ht="15" hidden="false" customHeight="false" outlineLevel="0" collapsed="false">
      <c r="A11" s="7" t="s">
        <v>15</v>
      </c>
      <c r="B11" s="5" t="n">
        <f aca="false">COUNTIF('Change Log'!I2:I1000,"*changed*")</f>
        <v>1</v>
      </c>
      <c r="C11" s="6" t="s">
        <v>14</v>
      </c>
    </row>
    <row r="12" customFormat="false" ht="15" hidden="false" customHeight="false" outlineLevel="0" collapsed="false">
      <c r="A12" s="4" t="s">
        <v>16</v>
      </c>
      <c r="B12" s="5" t="n">
        <f aca="false">COUNTA('YAML Reference'!A2:A1000)</f>
        <v>24</v>
      </c>
      <c r="C12" s="6" t="s">
        <v>17</v>
      </c>
    </row>
    <row r="13" customFormat="false" ht="15" hidden="false" customHeight="false" outlineLevel="0" collapsed="false">
      <c r="A13" s="7" t="s">
        <v>18</v>
      </c>
      <c r="B13" s="5" t="n">
        <f aca="false">COUNTIF('YAML Reference'!E2:E1000,"Yes*")</f>
        <v>7</v>
      </c>
      <c r="C13" s="6" t="s">
        <v>17</v>
      </c>
    </row>
    <row r="14" customFormat="false" ht="15" hidden="false" customHeight="false" outlineLevel="0" collapsed="false">
      <c r="A14" s="4" t="s">
        <v>19</v>
      </c>
      <c r="B14" s="5" t="n">
        <f aca="false">COUNTA('Store Settings'!A2:A1000)</f>
        <v>25</v>
      </c>
      <c r="C14" s="6" t="s">
        <v>20</v>
      </c>
    </row>
    <row r="15" customFormat="false" ht="15" hidden="false" customHeight="false" outlineLevel="0" collapsed="false">
      <c r="A15" s="4" t="s">
        <v>21</v>
      </c>
      <c r="B15" s="5" t="n">
        <f aca="false">COUNTIFS('Store Settings'!A2:A1000,"ignite",'Store Settings'!B2:B1000,"Dataset")</f>
        <v>14</v>
      </c>
      <c r="C15" s="6" t="s">
        <v>20</v>
      </c>
    </row>
    <row r="16" customFormat="false" ht="15" hidden="false" customHeight="false" outlineLevel="0" collapsed="false">
      <c r="A16" s="4" t="s">
        <v>22</v>
      </c>
      <c r="B16" s="5" t="n">
        <f aca="false">COUNTIF('Packages &amp; Classes'!A2:A1000,"data-store-core")</f>
        <v>19</v>
      </c>
      <c r="C16" s="6" t="s">
        <v>23</v>
      </c>
    </row>
    <row r="17" customFormat="false" ht="15" hidden="false" customHeight="false" outlineLevel="0" collapsed="false">
      <c r="A17" s="4" t="s">
        <v>24</v>
      </c>
      <c r="B17" s="8" t="n">
        <v>8</v>
      </c>
      <c r="C17" s="6" t="s">
        <v>25</v>
      </c>
    </row>
    <row r="18" customFormat="false" ht="15" hidden="false" customHeight="false" outlineLevel="0" collapsed="false">
      <c r="A18" s="4" t="s">
        <v>26</v>
      </c>
      <c r="B18" s="5" t="n">
        <f aca="false">COUNTA(Tests!B2:B31)</f>
        <v>30</v>
      </c>
      <c r="C18" s="6" t="s">
        <v>27</v>
      </c>
    </row>
    <row r="19" customFormat="false" ht="15" hidden="false" customHeight="false" outlineLevel="0" collapsed="false">
      <c r="A19" s="4" t="s">
        <v>28</v>
      </c>
      <c r="B19" s="5" t="n">
        <f aca="false">COUNTIF(Tests!D2:G31,"PASS")</f>
        <v>96</v>
      </c>
      <c r="C19" s="6" t="s">
        <v>29</v>
      </c>
    </row>
    <row r="20" customFormat="false" ht="15" hidden="false" customHeight="false" outlineLevel="0" collapsed="false">
      <c r="A20" s="4" t="s">
        <v>30</v>
      </c>
      <c r="B20" s="5" t="n">
        <f aca="false">COUNTIF(Tests!D2:G31,"FAIL")</f>
        <v>0</v>
      </c>
      <c r="C20" s="6" t="s">
        <v>27</v>
      </c>
    </row>
    <row r="21" customFormat="false" ht="15" hidden="false" customHeight="false" outlineLevel="0" collapsed="false">
      <c r="A21" s="4" t="s">
        <v>31</v>
      </c>
      <c r="B21" s="5" t="n">
        <f aca="false">COUNTIF('Decisions &amp; Open Items'!C2:C1000,"Open")</f>
        <v>5</v>
      </c>
      <c r="C21" s="6" t="s">
        <v>32</v>
      </c>
    </row>
    <row r="23" customFormat="false" ht="15" hidden="false" customHeight="false" outlineLevel="0" collapsed="false">
      <c r="A23" s="9" t="s">
        <v>33</v>
      </c>
    </row>
    <row r="24" customFormat="false" ht="15" hidden="false" customHeight="false" outlineLevel="0" collapsed="false">
      <c r="A24" s="10" t="s">
        <v>6</v>
      </c>
      <c r="C24" s="10" t="s">
        <v>34</v>
      </c>
    </row>
    <row r="25" customFormat="false" ht="15" hidden="false" customHeight="false" outlineLevel="0" collapsed="false">
      <c r="A25" s="10" t="s">
        <v>12</v>
      </c>
      <c r="C25" s="10" t="s">
        <v>35</v>
      </c>
    </row>
    <row r="26" customFormat="false" ht="15" hidden="false" customHeight="false" outlineLevel="0" collapsed="false">
      <c r="A26" s="10" t="s">
        <v>17</v>
      </c>
      <c r="C26" s="10" t="s">
        <v>36</v>
      </c>
    </row>
    <row r="27" customFormat="false" ht="15" hidden="false" customHeight="false" outlineLevel="0" collapsed="false">
      <c r="A27" s="10" t="s">
        <v>20</v>
      </c>
      <c r="C27" s="10" t="s">
        <v>37</v>
      </c>
    </row>
    <row r="28" customFormat="false" ht="15" hidden="false" customHeight="false" outlineLevel="0" collapsed="false">
      <c r="A28" s="10" t="s">
        <v>23</v>
      </c>
      <c r="C28" s="10" t="s">
        <v>38</v>
      </c>
    </row>
    <row r="29" customFormat="false" ht="15" hidden="false" customHeight="false" outlineLevel="0" collapsed="false">
      <c r="A29" s="10" t="s">
        <v>27</v>
      </c>
      <c r="C29" s="10" t="s">
        <v>39</v>
      </c>
    </row>
    <row r="30" customFormat="false" ht="15" hidden="false" customHeight="false" outlineLevel="0" collapsed="false">
      <c r="A30" s="10" t="s">
        <v>32</v>
      </c>
      <c r="C30" s="10" t="s">
        <v>40</v>
      </c>
    </row>
    <row r="32" customFormat="false" ht="42" hidden="false" customHeight="true" outlineLevel="0" collapsed="false">
      <c r="A32" s="9" t="s">
        <v>41</v>
      </c>
      <c r="C32" s="11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6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38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2" t="s">
        <v>43</v>
      </c>
      <c r="B1" s="12" t="s">
        <v>44</v>
      </c>
      <c r="C1" s="12" t="s">
        <v>45</v>
      </c>
      <c r="D1" s="12" t="s">
        <v>4</v>
      </c>
      <c r="E1" s="12" t="s">
        <v>46</v>
      </c>
      <c r="F1" s="12" t="s">
        <v>47</v>
      </c>
      <c r="G1" s="12" t="s">
        <v>48</v>
      </c>
      <c r="H1" s="12" t="s">
        <v>49</v>
      </c>
      <c r="I1" s="12" t="s">
        <v>50</v>
      </c>
    </row>
    <row r="2" customFormat="false" ht="23.85" hidden="false" customHeight="false" outlineLevel="0" collapsed="false">
      <c r="A2" s="13" t="s">
        <v>51</v>
      </c>
      <c r="B2" s="13" t="s">
        <v>52</v>
      </c>
      <c r="C2" s="13" t="s">
        <v>53</v>
      </c>
      <c r="D2" s="13" t="s">
        <v>54</v>
      </c>
      <c r="E2" s="13" t="s">
        <v>55</v>
      </c>
      <c r="F2" s="13" t="s">
        <v>56</v>
      </c>
      <c r="G2" s="13" t="s">
        <v>57</v>
      </c>
      <c r="H2" s="13" t="s">
        <v>58</v>
      </c>
      <c r="I2" s="13" t="s">
        <v>59</v>
      </c>
    </row>
    <row r="3" customFormat="false" ht="23.85" hidden="false" customHeight="false" outlineLevel="0" collapsed="false">
      <c r="A3" s="13" t="s">
        <v>60</v>
      </c>
      <c r="B3" s="13" t="s">
        <v>52</v>
      </c>
      <c r="C3" s="13" t="s">
        <v>61</v>
      </c>
      <c r="D3" s="13" t="s">
        <v>62</v>
      </c>
      <c r="E3" s="13" t="s">
        <v>63</v>
      </c>
      <c r="F3" s="13" t="s">
        <v>64</v>
      </c>
      <c r="G3" s="13" t="s">
        <v>65</v>
      </c>
      <c r="H3" s="13" t="s">
        <v>66</v>
      </c>
      <c r="I3" s="13" t="s">
        <v>67</v>
      </c>
    </row>
    <row r="4" customFormat="false" ht="35.05" hidden="false" customHeight="false" outlineLevel="0" collapsed="false">
      <c r="A4" s="13" t="s">
        <v>68</v>
      </c>
      <c r="B4" s="13" t="s">
        <v>52</v>
      </c>
      <c r="C4" s="13" t="s">
        <v>69</v>
      </c>
      <c r="D4" s="13" t="s">
        <v>70</v>
      </c>
      <c r="E4" s="13" t="s">
        <v>71</v>
      </c>
      <c r="F4" s="13" t="s">
        <v>72</v>
      </c>
      <c r="G4" s="13" t="s">
        <v>73</v>
      </c>
      <c r="H4" s="13" t="s">
        <v>74</v>
      </c>
      <c r="I4" s="13" t="s">
        <v>75</v>
      </c>
    </row>
    <row r="5" customFormat="false" ht="35.05" hidden="false" customHeight="false" outlineLevel="0" collapsed="false">
      <c r="A5" s="13" t="s">
        <v>76</v>
      </c>
      <c r="B5" s="13" t="s">
        <v>52</v>
      </c>
      <c r="C5" s="13" t="s">
        <v>77</v>
      </c>
      <c r="D5" s="13" t="s">
        <v>78</v>
      </c>
      <c r="E5" s="13" t="s">
        <v>79</v>
      </c>
      <c r="F5" s="13" t="s">
        <v>80</v>
      </c>
      <c r="G5" s="13" t="s">
        <v>81</v>
      </c>
      <c r="H5" s="13" t="s">
        <v>82</v>
      </c>
      <c r="I5" s="13" t="s">
        <v>75</v>
      </c>
    </row>
    <row r="6" customFormat="false" ht="23.85" hidden="false" customHeight="false" outlineLevel="0" collapsed="false">
      <c r="A6" s="13" t="s">
        <v>83</v>
      </c>
      <c r="B6" s="13" t="s">
        <v>52</v>
      </c>
      <c r="C6" s="13" t="s">
        <v>84</v>
      </c>
      <c r="D6" s="13" t="s">
        <v>70</v>
      </c>
      <c r="E6" s="13" t="s">
        <v>85</v>
      </c>
      <c r="F6" s="13" t="s">
        <v>86</v>
      </c>
      <c r="G6" s="13" t="s">
        <v>87</v>
      </c>
      <c r="H6" s="13" t="s">
        <v>88</v>
      </c>
      <c r="I6" s="13" t="s">
        <v>89</v>
      </c>
    </row>
    <row r="7" customFormat="false" ht="23.85" hidden="false" customHeight="false" outlineLevel="0" collapsed="false">
      <c r="A7" s="13" t="s">
        <v>90</v>
      </c>
      <c r="B7" s="13" t="s">
        <v>91</v>
      </c>
      <c r="C7" s="13" t="s">
        <v>92</v>
      </c>
      <c r="D7" s="13" t="s">
        <v>93</v>
      </c>
      <c r="E7" s="13" t="s">
        <v>94</v>
      </c>
      <c r="F7" s="13" t="s">
        <v>95</v>
      </c>
      <c r="G7" s="13" t="s">
        <v>96</v>
      </c>
      <c r="H7" s="13" t="s">
        <v>97</v>
      </c>
      <c r="I7" s="13" t="s">
        <v>75</v>
      </c>
    </row>
    <row r="8" customFormat="false" ht="23.85" hidden="false" customHeight="false" outlineLevel="0" collapsed="false">
      <c r="A8" s="13" t="s">
        <v>98</v>
      </c>
      <c r="B8" s="13" t="s">
        <v>91</v>
      </c>
      <c r="C8" s="13" t="s">
        <v>99</v>
      </c>
      <c r="D8" s="13" t="s">
        <v>100</v>
      </c>
      <c r="E8" s="13" t="s">
        <v>101</v>
      </c>
      <c r="F8" s="13" t="s">
        <v>102</v>
      </c>
      <c r="G8" s="13" t="s">
        <v>103</v>
      </c>
      <c r="H8" s="13" t="s">
        <v>104</v>
      </c>
      <c r="I8" s="13" t="s">
        <v>105</v>
      </c>
    </row>
    <row r="9" customFormat="false" ht="23.85" hidden="false" customHeight="false" outlineLevel="0" collapsed="false">
      <c r="A9" s="13" t="s">
        <v>106</v>
      </c>
      <c r="B9" s="13" t="s">
        <v>91</v>
      </c>
      <c r="C9" s="13" t="s">
        <v>107</v>
      </c>
      <c r="D9" s="13" t="s">
        <v>108</v>
      </c>
      <c r="E9" s="13" t="s">
        <v>109</v>
      </c>
      <c r="F9" s="13" t="s">
        <v>110</v>
      </c>
      <c r="G9" s="13" t="s">
        <v>111</v>
      </c>
      <c r="H9" s="13" t="s">
        <v>112</v>
      </c>
      <c r="I9" s="13" t="s">
        <v>113</v>
      </c>
    </row>
    <row r="10" customFormat="false" ht="23.85" hidden="false" customHeight="false" outlineLevel="0" collapsed="false">
      <c r="A10" s="13" t="s">
        <v>114</v>
      </c>
      <c r="B10" s="13" t="s">
        <v>91</v>
      </c>
      <c r="C10" s="13" t="s">
        <v>115</v>
      </c>
      <c r="D10" s="13" t="s">
        <v>116</v>
      </c>
      <c r="E10" s="13" t="s">
        <v>117</v>
      </c>
      <c r="F10" s="13" t="s">
        <v>118</v>
      </c>
      <c r="G10" s="13" t="s">
        <v>119</v>
      </c>
      <c r="H10" s="13" t="s">
        <v>120</v>
      </c>
      <c r="I10" s="13" t="s">
        <v>75</v>
      </c>
    </row>
    <row r="11" customFormat="false" ht="23.85" hidden="false" customHeight="false" outlineLevel="0" collapsed="false">
      <c r="A11" s="13" t="s">
        <v>121</v>
      </c>
      <c r="B11" s="13" t="s">
        <v>91</v>
      </c>
      <c r="C11" s="13" t="s">
        <v>122</v>
      </c>
      <c r="D11" s="13" t="s">
        <v>123</v>
      </c>
      <c r="E11" s="13" t="s">
        <v>124</v>
      </c>
      <c r="F11" s="13" t="s">
        <v>125</v>
      </c>
      <c r="G11" s="13" t="s">
        <v>126</v>
      </c>
      <c r="H11" s="13" t="s">
        <v>127</v>
      </c>
      <c r="I11" s="13" t="s">
        <v>75</v>
      </c>
    </row>
    <row r="12" customFormat="false" ht="23.85" hidden="false" customHeight="false" outlineLevel="0" collapsed="false">
      <c r="A12" s="13" t="s">
        <v>128</v>
      </c>
      <c r="B12" s="13" t="s">
        <v>129</v>
      </c>
      <c r="C12" s="13" t="s">
        <v>130</v>
      </c>
      <c r="D12" s="13" t="s">
        <v>131</v>
      </c>
      <c r="E12" s="13" t="s">
        <v>132</v>
      </c>
      <c r="F12" s="13" t="s">
        <v>133</v>
      </c>
      <c r="G12" s="13" t="s">
        <v>134</v>
      </c>
      <c r="H12" s="13" t="s">
        <v>135</v>
      </c>
      <c r="I12" s="13" t="s">
        <v>75</v>
      </c>
    </row>
    <row r="13" customFormat="false" ht="23.85" hidden="false" customHeight="false" outlineLevel="0" collapsed="false">
      <c r="A13" s="13" t="s">
        <v>136</v>
      </c>
      <c r="B13" s="13" t="s">
        <v>129</v>
      </c>
      <c r="C13" s="13" t="s">
        <v>137</v>
      </c>
      <c r="D13" s="13" t="s">
        <v>138</v>
      </c>
      <c r="E13" s="13" t="s">
        <v>139</v>
      </c>
      <c r="F13" s="13" t="s">
        <v>140</v>
      </c>
      <c r="G13" s="13" t="s">
        <v>141</v>
      </c>
      <c r="H13" s="13" t="s">
        <v>142</v>
      </c>
      <c r="I13" s="13" t="s">
        <v>75</v>
      </c>
    </row>
    <row r="14" customFormat="false" ht="23.85" hidden="false" customHeight="false" outlineLevel="0" collapsed="false">
      <c r="A14" s="13" t="s">
        <v>143</v>
      </c>
      <c r="B14" s="13" t="s">
        <v>129</v>
      </c>
      <c r="C14" s="13" t="s">
        <v>144</v>
      </c>
      <c r="D14" s="13" t="s">
        <v>145</v>
      </c>
      <c r="E14" s="13" t="s">
        <v>146</v>
      </c>
      <c r="F14" s="13" t="s">
        <v>147</v>
      </c>
      <c r="G14" s="13" t="s">
        <v>148</v>
      </c>
      <c r="H14" s="13" t="s">
        <v>149</v>
      </c>
      <c r="I14" s="13" t="s">
        <v>75</v>
      </c>
    </row>
    <row r="15" customFormat="false" ht="23.85" hidden="false" customHeight="false" outlineLevel="0" collapsed="false">
      <c r="A15" s="13" t="s">
        <v>150</v>
      </c>
      <c r="B15" s="13" t="s">
        <v>129</v>
      </c>
      <c r="C15" s="13" t="s">
        <v>151</v>
      </c>
      <c r="D15" s="13" t="s">
        <v>152</v>
      </c>
      <c r="E15" s="13" t="s">
        <v>153</v>
      </c>
      <c r="F15" s="13" t="s">
        <v>154</v>
      </c>
      <c r="G15" s="13" t="s">
        <v>155</v>
      </c>
      <c r="H15" s="13" t="s">
        <v>156</v>
      </c>
      <c r="I15" s="13" t="s">
        <v>157</v>
      </c>
    </row>
    <row r="16" customFormat="false" ht="23.85" hidden="false" customHeight="false" outlineLevel="0" collapsed="false">
      <c r="A16" s="13" t="s">
        <v>158</v>
      </c>
      <c r="B16" s="13" t="s">
        <v>129</v>
      </c>
      <c r="C16" s="13" t="s">
        <v>159</v>
      </c>
      <c r="D16" s="13" t="s">
        <v>160</v>
      </c>
      <c r="E16" s="13" t="s">
        <v>161</v>
      </c>
      <c r="F16" s="13" t="s">
        <v>162</v>
      </c>
      <c r="G16" s="13" t="s">
        <v>163</v>
      </c>
      <c r="H16" s="13" t="s">
        <v>156</v>
      </c>
      <c r="I16" s="13" t="s">
        <v>75</v>
      </c>
    </row>
    <row r="17" customFormat="false" ht="23.85" hidden="false" customHeight="false" outlineLevel="0" collapsed="false">
      <c r="A17" s="13" t="s">
        <v>164</v>
      </c>
      <c r="B17" s="13" t="s">
        <v>129</v>
      </c>
      <c r="C17" s="13" t="s">
        <v>165</v>
      </c>
      <c r="D17" s="13" t="s">
        <v>166</v>
      </c>
      <c r="E17" s="13" t="s">
        <v>167</v>
      </c>
      <c r="F17" s="13" t="s">
        <v>168</v>
      </c>
      <c r="G17" s="13" t="s">
        <v>169</v>
      </c>
      <c r="H17" s="13" t="s">
        <v>156</v>
      </c>
      <c r="I17" s="13" t="s">
        <v>170</v>
      </c>
    </row>
    <row r="18" customFormat="false" ht="23.85" hidden="false" customHeight="false" outlineLevel="0" collapsed="false">
      <c r="A18" s="13" t="s">
        <v>171</v>
      </c>
      <c r="B18" s="13" t="s">
        <v>172</v>
      </c>
      <c r="C18" s="13" t="s">
        <v>173</v>
      </c>
      <c r="D18" s="13" t="s">
        <v>174</v>
      </c>
      <c r="E18" s="13" t="s">
        <v>175</v>
      </c>
      <c r="F18" s="13" t="s">
        <v>176</v>
      </c>
      <c r="G18" s="13" t="s">
        <v>177</v>
      </c>
      <c r="H18" s="13" t="s">
        <v>142</v>
      </c>
      <c r="I18" s="13" t="s">
        <v>75</v>
      </c>
    </row>
    <row r="19" customFormat="false" ht="23.85" hidden="false" customHeight="false" outlineLevel="0" collapsed="false">
      <c r="A19" s="13" t="s">
        <v>178</v>
      </c>
      <c r="B19" s="13" t="s">
        <v>172</v>
      </c>
      <c r="C19" s="13" t="s">
        <v>179</v>
      </c>
      <c r="D19" s="13" t="s">
        <v>180</v>
      </c>
      <c r="E19" s="13" t="s">
        <v>181</v>
      </c>
      <c r="F19" s="13" t="s">
        <v>182</v>
      </c>
      <c r="G19" s="13" t="s">
        <v>183</v>
      </c>
      <c r="H19" s="13" t="s">
        <v>184</v>
      </c>
      <c r="I19" s="13" t="s">
        <v>75</v>
      </c>
    </row>
    <row r="20" customFormat="false" ht="23.85" hidden="false" customHeight="false" outlineLevel="0" collapsed="false">
      <c r="A20" s="13" t="s">
        <v>185</v>
      </c>
      <c r="B20" s="13" t="s">
        <v>172</v>
      </c>
      <c r="C20" s="13" t="s">
        <v>186</v>
      </c>
      <c r="D20" s="13" t="s">
        <v>187</v>
      </c>
      <c r="E20" s="13" t="s">
        <v>188</v>
      </c>
      <c r="F20" s="13" t="s">
        <v>189</v>
      </c>
      <c r="G20" s="13" t="s">
        <v>190</v>
      </c>
      <c r="H20" s="13" t="s">
        <v>191</v>
      </c>
      <c r="I20" s="13" t="s">
        <v>75</v>
      </c>
    </row>
    <row r="21" customFormat="false" ht="23.85" hidden="false" customHeight="false" outlineLevel="0" collapsed="false">
      <c r="A21" s="13" t="s">
        <v>192</v>
      </c>
      <c r="B21" s="13" t="s">
        <v>172</v>
      </c>
      <c r="C21" s="13" t="s">
        <v>193</v>
      </c>
      <c r="D21" s="13" t="s">
        <v>194</v>
      </c>
      <c r="E21" s="13" t="s">
        <v>195</v>
      </c>
      <c r="F21" s="13" t="s">
        <v>196</v>
      </c>
      <c r="G21" s="13" t="s">
        <v>197</v>
      </c>
      <c r="H21" s="13" t="s">
        <v>198</v>
      </c>
      <c r="I21" s="13" t="s">
        <v>75</v>
      </c>
    </row>
    <row r="22" customFormat="false" ht="23.85" hidden="false" customHeight="false" outlineLevel="0" collapsed="false">
      <c r="A22" s="13" t="s">
        <v>199</v>
      </c>
      <c r="B22" s="13" t="s">
        <v>200</v>
      </c>
      <c r="C22" s="13" t="s">
        <v>201</v>
      </c>
      <c r="D22" s="13" t="s">
        <v>202</v>
      </c>
      <c r="E22" s="13" t="s">
        <v>203</v>
      </c>
      <c r="F22" s="13" t="s">
        <v>204</v>
      </c>
      <c r="G22" s="13" t="s">
        <v>205</v>
      </c>
      <c r="H22" s="13" t="s">
        <v>206</v>
      </c>
      <c r="I22" s="13" t="s">
        <v>75</v>
      </c>
    </row>
    <row r="23" customFormat="false" ht="23.85" hidden="false" customHeight="false" outlineLevel="0" collapsed="false">
      <c r="A23" s="13" t="s">
        <v>207</v>
      </c>
      <c r="B23" s="13" t="s">
        <v>208</v>
      </c>
      <c r="C23" s="13" t="s">
        <v>209</v>
      </c>
      <c r="D23" s="13" t="s">
        <v>210</v>
      </c>
      <c r="E23" s="13" t="s">
        <v>211</v>
      </c>
      <c r="F23" s="13" t="s">
        <v>212</v>
      </c>
      <c r="G23" s="13" t="s">
        <v>213</v>
      </c>
      <c r="H23" s="13" t="s">
        <v>214</v>
      </c>
      <c r="I23" s="13" t="s">
        <v>75</v>
      </c>
    </row>
    <row r="24" customFormat="false" ht="23.85" hidden="false" customHeight="false" outlineLevel="0" collapsed="false">
      <c r="A24" s="13" t="s">
        <v>215</v>
      </c>
      <c r="B24" s="13" t="s">
        <v>208</v>
      </c>
      <c r="C24" s="13" t="s">
        <v>216</v>
      </c>
      <c r="D24" s="13" t="s">
        <v>217</v>
      </c>
      <c r="E24" s="13" t="s">
        <v>218</v>
      </c>
      <c r="F24" s="13" t="s">
        <v>219</v>
      </c>
      <c r="G24" s="13" t="s">
        <v>220</v>
      </c>
      <c r="H24" s="13" t="s">
        <v>221</v>
      </c>
      <c r="I24" s="13" t="s">
        <v>75</v>
      </c>
    </row>
    <row r="25" customFormat="false" ht="23.85" hidden="false" customHeight="false" outlineLevel="0" collapsed="false">
      <c r="A25" s="13" t="s">
        <v>222</v>
      </c>
      <c r="B25" s="13" t="s">
        <v>208</v>
      </c>
      <c r="C25" s="13" t="s">
        <v>223</v>
      </c>
      <c r="D25" s="13" t="s">
        <v>224</v>
      </c>
      <c r="E25" s="13" t="s">
        <v>225</v>
      </c>
      <c r="F25" s="13" t="s">
        <v>226</v>
      </c>
      <c r="G25" s="13" t="s">
        <v>227</v>
      </c>
      <c r="H25" s="13" t="s">
        <v>228</v>
      </c>
      <c r="I25" s="13" t="s">
        <v>75</v>
      </c>
    </row>
    <row r="26" customFormat="false" ht="23.85" hidden="false" customHeight="false" outlineLevel="0" collapsed="false">
      <c r="A26" s="13" t="s">
        <v>229</v>
      </c>
      <c r="B26" s="13" t="s">
        <v>208</v>
      </c>
      <c r="C26" s="13" t="s">
        <v>230</v>
      </c>
      <c r="D26" s="13" t="s">
        <v>231</v>
      </c>
      <c r="E26" s="13" t="s">
        <v>232</v>
      </c>
      <c r="F26" s="13" t="s">
        <v>233</v>
      </c>
      <c r="G26" s="13" t="s">
        <v>234</v>
      </c>
      <c r="H26" s="13" t="s">
        <v>235</v>
      </c>
      <c r="I26" s="13" t="s">
        <v>75</v>
      </c>
    </row>
    <row r="27" customFormat="false" ht="23.85" hidden="false" customHeight="false" outlineLevel="0" collapsed="false">
      <c r="A27" s="13" t="s">
        <v>236</v>
      </c>
      <c r="B27" s="13" t="s">
        <v>208</v>
      </c>
      <c r="C27" s="13" t="s">
        <v>237</v>
      </c>
      <c r="D27" s="13" t="s">
        <v>238</v>
      </c>
      <c r="E27" s="13" t="s">
        <v>239</v>
      </c>
      <c r="F27" s="13" t="s">
        <v>240</v>
      </c>
      <c r="G27" s="13" t="s">
        <v>241</v>
      </c>
      <c r="H27" s="13" t="s">
        <v>242</v>
      </c>
      <c r="I27" s="13" t="s">
        <v>75</v>
      </c>
    </row>
    <row r="28" customFormat="false" ht="23.85" hidden="false" customHeight="false" outlineLevel="0" collapsed="false">
      <c r="A28" s="13" t="s">
        <v>243</v>
      </c>
      <c r="B28" s="13" t="s">
        <v>208</v>
      </c>
      <c r="C28" s="13" t="s">
        <v>244</v>
      </c>
      <c r="D28" s="13" t="s">
        <v>245</v>
      </c>
      <c r="E28" s="13" t="s">
        <v>246</v>
      </c>
      <c r="F28" s="13" t="s">
        <v>247</v>
      </c>
      <c r="G28" s="13" t="s">
        <v>248</v>
      </c>
      <c r="H28" s="13" t="s">
        <v>249</v>
      </c>
      <c r="I28" s="13" t="s">
        <v>75</v>
      </c>
    </row>
    <row r="29" customFormat="false" ht="23.85" hidden="false" customHeight="false" outlineLevel="0" collapsed="false">
      <c r="A29" s="13" t="s">
        <v>250</v>
      </c>
      <c r="B29" s="13" t="s">
        <v>208</v>
      </c>
      <c r="C29" s="13" t="s">
        <v>251</v>
      </c>
      <c r="D29" s="13" t="s">
        <v>252</v>
      </c>
      <c r="E29" s="13" t="s">
        <v>253</v>
      </c>
      <c r="F29" s="13" t="s">
        <v>254</v>
      </c>
      <c r="G29" s="13" t="s">
        <v>255</v>
      </c>
      <c r="H29" s="13" t="s">
        <v>249</v>
      </c>
      <c r="I29" s="13" t="s">
        <v>75</v>
      </c>
    </row>
    <row r="30" customFormat="false" ht="35.05" hidden="false" customHeight="false" outlineLevel="0" collapsed="false">
      <c r="A30" s="13" t="s">
        <v>256</v>
      </c>
      <c r="B30" s="13" t="s">
        <v>208</v>
      </c>
      <c r="C30" s="13" t="s">
        <v>257</v>
      </c>
      <c r="D30" s="13" t="s">
        <v>258</v>
      </c>
      <c r="E30" s="13" t="s">
        <v>259</v>
      </c>
      <c r="F30" s="13" t="s">
        <v>260</v>
      </c>
      <c r="G30" s="13" t="s">
        <v>261</v>
      </c>
      <c r="H30" s="13" t="s">
        <v>262</v>
      </c>
      <c r="I30" s="13" t="s">
        <v>75</v>
      </c>
    </row>
    <row r="31" customFormat="false" ht="23.85" hidden="false" customHeight="false" outlineLevel="0" collapsed="false">
      <c r="A31" s="13" t="s">
        <v>263</v>
      </c>
      <c r="B31" s="13" t="s">
        <v>264</v>
      </c>
      <c r="C31" s="13" t="s">
        <v>265</v>
      </c>
      <c r="D31" s="13" t="s">
        <v>266</v>
      </c>
      <c r="E31" s="13" t="s">
        <v>267</v>
      </c>
      <c r="F31" s="13" t="s">
        <v>268</v>
      </c>
      <c r="G31" s="13" t="s">
        <v>269</v>
      </c>
      <c r="H31" s="13" t="s">
        <v>270</v>
      </c>
      <c r="I31" s="13" t="s">
        <v>75</v>
      </c>
    </row>
    <row r="32" customFormat="false" ht="23.85" hidden="false" customHeight="false" outlineLevel="0" collapsed="false">
      <c r="A32" s="13" t="s">
        <v>271</v>
      </c>
      <c r="B32" s="13" t="s">
        <v>272</v>
      </c>
      <c r="C32" s="13" t="s">
        <v>273</v>
      </c>
      <c r="D32" s="13" t="s">
        <v>274</v>
      </c>
      <c r="E32" s="13" t="s">
        <v>275</v>
      </c>
      <c r="F32" s="13" t="s">
        <v>276</v>
      </c>
      <c r="G32" s="13" t="s">
        <v>277</v>
      </c>
      <c r="H32" s="13" t="s">
        <v>278</v>
      </c>
      <c r="I32" s="13" t="s">
        <v>75</v>
      </c>
    </row>
    <row r="33" customFormat="false" ht="23.85" hidden="false" customHeight="false" outlineLevel="0" collapsed="false">
      <c r="A33" s="13" t="s">
        <v>279</v>
      </c>
      <c r="B33" s="13" t="s">
        <v>280</v>
      </c>
      <c r="C33" s="13" t="s">
        <v>281</v>
      </c>
      <c r="D33" s="13" t="s">
        <v>282</v>
      </c>
      <c r="E33" s="13" t="s">
        <v>283</v>
      </c>
      <c r="F33" s="13" t="s">
        <v>284</v>
      </c>
      <c r="G33" s="13" t="s">
        <v>96</v>
      </c>
      <c r="H33" s="13" t="s">
        <v>285</v>
      </c>
      <c r="I33" s="13" t="s">
        <v>75</v>
      </c>
    </row>
    <row r="34" customFormat="false" ht="23.85" hidden="false" customHeight="false" outlineLevel="0" collapsed="false">
      <c r="A34" s="13" t="s">
        <v>286</v>
      </c>
      <c r="B34" s="13" t="s">
        <v>280</v>
      </c>
      <c r="C34" s="13" t="s">
        <v>287</v>
      </c>
      <c r="D34" s="13" t="s">
        <v>288</v>
      </c>
      <c r="E34" s="13" t="s">
        <v>289</v>
      </c>
      <c r="F34" s="13" t="s">
        <v>290</v>
      </c>
      <c r="G34" s="13" t="s">
        <v>291</v>
      </c>
      <c r="H34" s="13" t="s">
        <v>292</v>
      </c>
      <c r="I34" s="13" t="s">
        <v>75</v>
      </c>
    </row>
    <row r="35" customFormat="false" ht="23.85" hidden="false" customHeight="false" outlineLevel="0" collapsed="false">
      <c r="A35" s="13" t="s">
        <v>293</v>
      </c>
      <c r="B35" s="13" t="s">
        <v>280</v>
      </c>
      <c r="C35" s="13" t="s">
        <v>294</v>
      </c>
      <c r="D35" s="13" t="s">
        <v>295</v>
      </c>
      <c r="E35" s="13" t="s">
        <v>296</v>
      </c>
      <c r="F35" s="13" t="s">
        <v>297</v>
      </c>
      <c r="G35" s="13" t="s">
        <v>298</v>
      </c>
      <c r="H35" s="13" t="s">
        <v>112</v>
      </c>
      <c r="I35" s="13" t="s">
        <v>75</v>
      </c>
    </row>
    <row r="36" customFormat="false" ht="23.85" hidden="false" customHeight="false" outlineLevel="0" collapsed="false">
      <c r="A36" s="13" t="s">
        <v>299</v>
      </c>
      <c r="B36" s="13" t="s">
        <v>280</v>
      </c>
      <c r="C36" s="13" t="s">
        <v>300</v>
      </c>
      <c r="D36" s="13" t="s">
        <v>301</v>
      </c>
      <c r="E36" s="13" t="s">
        <v>302</v>
      </c>
      <c r="F36" s="13" t="s">
        <v>303</v>
      </c>
      <c r="G36" s="13" t="s">
        <v>304</v>
      </c>
      <c r="H36" s="13" t="s">
        <v>305</v>
      </c>
      <c r="I36" s="13" t="s">
        <v>75</v>
      </c>
    </row>
    <row r="37" customFormat="false" ht="23.85" hidden="false" customHeight="false" outlineLevel="0" collapsed="false">
      <c r="A37" s="13" t="s">
        <v>306</v>
      </c>
      <c r="B37" s="13" t="s">
        <v>280</v>
      </c>
      <c r="C37" s="13" t="s">
        <v>307</v>
      </c>
      <c r="D37" s="13" t="s">
        <v>308</v>
      </c>
      <c r="E37" s="13" t="s">
        <v>309</v>
      </c>
      <c r="F37" s="13" t="s">
        <v>310</v>
      </c>
      <c r="G37" s="13" t="s">
        <v>311</v>
      </c>
      <c r="H37" s="13" t="s">
        <v>312</v>
      </c>
      <c r="I37" s="13" t="s">
        <v>75</v>
      </c>
    </row>
    <row r="38" customFormat="false" ht="23.85" hidden="false" customHeight="false" outlineLevel="0" collapsed="false">
      <c r="A38" s="13" t="s">
        <v>313</v>
      </c>
      <c r="B38" s="13" t="s">
        <v>280</v>
      </c>
      <c r="C38" s="13" t="s">
        <v>314</v>
      </c>
      <c r="D38" s="13" t="s">
        <v>315</v>
      </c>
      <c r="E38" s="13" t="s">
        <v>316</v>
      </c>
      <c r="F38" s="13" t="s">
        <v>317</v>
      </c>
      <c r="G38" s="13" t="s">
        <v>318</v>
      </c>
      <c r="H38" s="13" t="s">
        <v>285</v>
      </c>
      <c r="I38" s="13" t="s">
        <v>75</v>
      </c>
    </row>
    <row r="39" customFormat="false" ht="23.85" hidden="false" customHeight="false" outlineLevel="0" collapsed="false">
      <c r="A39" s="13" t="s">
        <v>319</v>
      </c>
      <c r="B39" s="13" t="s">
        <v>320</v>
      </c>
      <c r="C39" s="13" t="s">
        <v>321</v>
      </c>
      <c r="D39" s="13" t="s">
        <v>322</v>
      </c>
      <c r="E39" s="13" t="s">
        <v>323</v>
      </c>
      <c r="F39" s="13" t="s">
        <v>324</v>
      </c>
      <c r="G39" s="13" t="s">
        <v>325</v>
      </c>
      <c r="H39" s="13" t="s">
        <v>326</v>
      </c>
      <c r="I39" s="13" t="s">
        <v>75</v>
      </c>
    </row>
    <row r="40" customFormat="false" ht="23.85" hidden="false" customHeight="false" outlineLevel="0" collapsed="false">
      <c r="A40" s="13" t="s">
        <v>327</v>
      </c>
      <c r="B40" s="13" t="s">
        <v>320</v>
      </c>
      <c r="C40" s="13" t="s">
        <v>328</v>
      </c>
      <c r="D40" s="13" t="s">
        <v>329</v>
      </c>
      <c r="E40" s="13" t="s">
        <v>330</v>
      </c>
      <c r="F40" s="13" t="s">
        <v>331</v>
      </c>
      <c r="G40" s="13" t="s">
        <v>332</v>
      </c>
      <c r="H40" s="13" t="s">
        <v>312</v>
      </c>
      <c r="I40" s="13" t="s">
        <v>333</v>
      </c>
    </row>
    <row r="41" customFormat="false" ht="23.85" hidden="false" customHeight="false" outlineLevel="0" collapsed="false">
      <c r="A41" s="13" t="s">
        <v>334</v>
      </c>
      <c r="B41" s="13" t="s">
        <v>335</v>
      </c>
      <c r="C41" s="13" t="s">
        <v>336</v>
      </c>
      <c r="D41" s="13" t="s">
        <v>337</v>
      </c>
      <c r="E41" s="13" t="s">
        <v>338</v>
      </c>
      <c r="F41" s="13" t="s">
        <v>339</v>
      </c>
      <c r="G41" s="13" t="s">
        <v>340</v>
      </c>
      <c r="H41" s="13" t="s">
        <v>341</v>
      </c>
      <c r="I41" s="13" t="s">
        <v>75</v>
      </c>
    </row>
    <row r="42" customFormat="false" ht="23.85" hidden="false" customHeight="false" outlineLevel="0" collapsed="false">
      <c r="A42" s="13" t="s">
        <v>342</v>
      </c>
      <c r="B42" s="13" t="s">
        <v>335</v>
      </c>
      <c r="C42" s="13" t="s">
        <v>343</v>
      </c>
      <c r="D42" s="13" t="s">
        <v>344</v>
      </c>
      <c r="E42" s="13" t="s">
        <v>345</v>
      </c>
      <c r="F42" s="13" t="s">
        <v>346</v>
      </c>
      <c r="G42" s="13" t="s">
        <v>347</v>
      </c>
      <c r="H42" s="13" t="s">
        <v>88</v>
      </c>
      <c r="I42" s="13" t="s">
        <v>75</v>
      </c>
    </row>
  </sheetData>
  <conditionalFormatting sqref="I2:I42">
    <cfRule type="expression" priority="2" aboveAverage="0" equalAverage="0" bottom="0" percent="0" rank="0" text="" dxfId="5">
      <formula>LEFT(I2,3)="Met"</formula>
    </cfRule>
    <cfRule type="expression" priority="3" aboveAverage="0" equalAverage="0" bottom="0" percent="0" rank="0" text="" dxfId="6">
      <formula>LEFT(I2,3)&lt;&gt;"Met"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58"/>
    <col collapsed="false" customWidth="true" hidden="false" outlineLevel="0" max="8" min="7" style="0" width="3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2" t="s">
        <v>348</v>
      </c>
      <c r="B1" s="12" t="s">
        <v>349</v>
      </c>
      <c r="C1" s="12" t="s">
        <v>350</v>
      </c>
      <c r="D1" s="12" t="s">
        <v>351</v>
      </c>
      <c r="E1" s="12" t="s">
        <v>352</v>
      </c>
      <c r="F1" s="12" t="s">
        <v>353</v>
      </c>
      <c r="G1" s="12" t="s">
        <v>354</v>
      </c>
      <c r="H1" s="12" t="s">
        <v>355</v>
      </c>
      <c r="I1" s="12" t="s">
        <v>50</v>
      </c>
    </row>
    <row r="2" customFormat="false" ht="35.05" hidden="false" customHeight="false" outlineLevel="0" collapsed="false">
      <c r="A2" s="13" t="s">
        <v>134</v>
      </c>
      <c r="B2" s="13" t="s">
        <v>356</v>
      </c>
      <c r="C2" s="13" t="s">
        <v>357</v>
      </c>
      <c r="D2" s="13" t="s">
        <v>358</v>
      </c>
      <c r="E2" s="13" t="s">
        <v>359</v>
      </c>
      <c r="F2" s="13" t="s">
        <v>360</v>
      </c>
      <c r="G2" s="13" t="s">
        <v>361</v>
      </c>
      <c r="H2" s="13" t="s">
        <v>362</v>
      </c>
      <c r="I2" s="13" t="s">
        <v>363</v>
      </c>
    </row>
    <row r="3" customFormat="false" ht="23.85" hidden="false" customHeight="false" outlineLevel="0" collapsed="false">
      <c r="A3" s="13" t="s">
        <v>364</v>
      </c>
      <c r="B3" s="13" t="s">
        <v>356</v>
      </c>
      <c r="C3" s="13" t="s">
        <v>365</v>
      </c>
      <c r="D3" s="13" t="s">
        <v>366</v>
      </c>
      <c r="E3" s="13" t="s">
        <v>367</v>
      </c>
      <c r="F3" s="13" t="s">
        <v>368</v>
      </c>
      <c r="G3" s="13" t="s">
        <v>369</v>
      </c>
      <c r="H3" s="13" t="s">
        <v>370</v>
      </c>
      <c r="I3" s="13" t="s">
        <v>363</v>
      </c>
    </row>
    <row r="4" customFormat="false" ht="35.05" hidden="false" customHeight="false" outlineLevel="0" collapsed="false">
      <c r="A4" s="13" t="s">
        <v>141</v>
      </c>
      <c r="B4" s="13" t="s">
        <v>356</v>
      </c>
      <c r="C4" s="13" t="s">
        <v>365</v>
      </c>
      <c r="D4" s="13" t="s">
        <v>371</v>
      </c>
      <c r="E4" s="13" t="s">
        <v>372</v>
      </c>
      <c r="F4" s="13" t="s">
        <v>373</v>
      </c>
      <c r="G4" s="13" t="s">
        <v>374</v>
      </c>
      <c r="H4" s="13" t="s">
        <v>375</v>
      </c>
      <c r="I4" s="13" t="s">
        <v>363</v>
      </c>
    </row>
    <row r="5" customFormat="false" ht="35.05" hidden="false" customHeight="false" outlineLevel="0" collapsed="false">
      <c r="A5" s="13" t="s">
        <v>376</v>
      </c>
      <c r="B5" s="13" t="s">
        <v>356</v>
      </c>
      <c r="C5" s="13" t="s">
        <v>365</v>
      </c>
      <c r="D5" s="13" t="s">
        <v>377</v>
      </c>
      <c r="E5" s="13" t="s">
        <v>378</v>
      </c>
      <c r="F5" s="13" t="s">
        <v>379</v>
      </c>
      <c r="G5" s="13" t="s">
        <v>380</v>
      </c>
      <c r="H5" s="13" t="s">
        <v>381</v>
      </c>
      <c r="I5" s="13" t="s">
        <v>363</v>
      </c>
    </row>
    <row r="6" customFormat="false" ht="23.85" hidden="false" customHeight="false" outlineLevel="0" collapsed="false">
      <c r="A6" s="13" t="s">
        <v>382</v>
      </c>
      <c r="B6" s="13" t="s">
        <v>356</v>
      </c>
      <c r="C6" s="13" t="s">
        <v>365</v>
      </c>
      <c r="D6" s="13" t="s">
        <v>383</v>
      </c>
      <c r="E6" s="13" t="s">
        <v>384</v>
      </c>
      <c r="F6" s="13" t="s">
        <v>385</v>
      </c>
      <c r="G6" s="13" t="s">
        <v>386</v>
      </c>
      <c r="H6" s="13" t="s">
        <v>387</v>
      </c>
      <c r="I6" s="13" t="s">
        <v>363</v>
      </c>
    </row>
    <row r="7" customFormat="false" ht="23.85" hidden="false" customHeight="false" outlineLevel="0" collapsed="false">
      <c r="A7" s="13" t="s">
        <v>388</v>
      </c>
      <c r="B7" s="13" t="s">
        <v>356</v>
      </c>
      <c r="C7" s="13" t="s">
        <v>365</v>
      </c>
      <c r="D7" s="13" t="s">
        <v>389</v>
      </c>
      <c r="E7" s="13" t="s">
        <v>390</v>
      </c>
      <c r="F7" s="13" t="s">
        <v>391</v>
      </c>
      <c r="G7" s="13" t="s">
        <v>392</v>
      </c>
      <c r="H7" s="13" t="s">
        <v>393</v>
      </c>
      <c r="I7" s="13" t="s">
        <v>363</v>
      </c>
    </row>
    <row r="8" customFormat="false" ht="23.85" hidden="false" customHeight="false" outlineLevel="0" collapsed="false">
      <c r="A8" s="13" t="s">
        <v>119</v>
      </c>
      <c r="B8" s="13" t="s">
        <v>91</v>
      </c>
      <c r="C8" s="13" t="s">
        <v>365</v>
      </c>
      <c r="D8" s="13" t="s">
        <v>394</v>
      </c>
      <c r="E8" s="13" t="s">
        <v>395</v>
      </c>
      <c r="F8" s="13" t="s">
        <v>396</v>
      </c>
      <c r="G8" s="13" t="s">
        <v>397</v>
      </c>
      <c r="H8" s="13" t="s">
        <v>398</v>
      </c>
      <c r="I8" s="13" t="s">
        <v>363</v>
      </c>
    </row>
    <row r="9" customFormat="false" ht="46.25" hidden="false" customHeight="false" outlineLevel="0" collapsed="false">
      <c r="A9" s="13" t="s">
        <v>399</v>
      </c>
      <c r="B9" s="13" t="s">
        <v>91</v>
      </c>
      <c r="C9" s="13" t="s">
        <v>400</v>
      </c>
      <c r="D9" s="13" t="s">
        <v>401</v>
      </c>
      <c r="E9" s="13" t="s">
        <v>402</v>
      </c>
      <c r="F9" s="13" t="s">
        <v>403</v>
      </c>
      <c r="G9" s="13" t="s">
        <v>404</v>
      </c>
      <c r="H9" s="13" t="s">
        <v>405</v>
      </c>
      <c r="I9" s="13" t="s">
        <v>363</v>
      </c>
    </row>
    <row r="10" customFormat="false" ht="35.05" hidden="false" customHeight="false" outlineLevel="0" collapsed="false">
      <c r="A10" s="13" t="s">
        <v>406</v>
      </c>
      <c r="B10" s="13" t="s">
        <v>91</v>
      </c>
      <c r="C10" s="13" t="s">
        <v>407</v>
      </c>
      <c r="D10" s="13" t="s">
        <v>408</v>
      </c>
      <c r="E10" s="13" t="s">
        <v>409</v>
      </c>
      <c r="F10" s="13" t="s">
        <v>410</v>
      </c>
      <c r="G10" s="13" t="s">
        <v>411</v>
      </c>
      <c r="H10" s="13" t="s">
        <v>412</v>
      </c>
      <c r="I10" s="13" t="s">
        <v>363</v>
      </c>
    </row>
    <row r="11" customFormat="false" ht="35.05" hidden="false" customHeight="false" outlineLevel="0" collapsed="false">
      <c r="A11" s="13" t="s">
        <v>413</v>
      </c>
      <c r="B11" s="13" t="s">
        <v>91</v>
      </c>
      <c r="C11" s="13" t="s">
        <v>365</v>
      </c>
      <c r="D11" s="13" t="s">
        <v>414</v>
      </c>
      <c r="E11" s="13" t="s">
        <v>415</v>
      </c>
      <c r="F11" s="13" t="s">
        <v>416</v>
      </c>
      <c r="G11" s="13" t="s">
        <v>417</v>
      </c>
      <c r="H11" s="13" t="s">
        <v>418</v>
      </c>
      <c r="I11" s="13" t="s">
        <v>363</v>
      </c>
    </row>
    <row r="12" customFormat="false" ht="23.85" hidden="false" customHeight="false" outlineLevel="0" collapsed="false">
      <c r="A12" s="13" t="s">
        <v>419</v>
      </c>
      <c r="B12" s="13" t="s">
        <v>91</v>
      </c>
      <c r="C12" s="13" t="s">
        <v>365</v>
      </c>
      <c r="D12" s="13" t="s">
        <v>420</v>
      </c>
      <c r="E12" s="13" t="s">
        <v>421</v>
      </c>
      <c r="F12" s="13" t="s">
        <v>422</v>
      </c>
      <c r="G12" s="13" t="s">
        <v>423</v>
      </c>
      <c r="H12" s="13" t="s">
        <v>424</v>
      </c>
      <c r="I12" s="13" t="s">
        <v>363</v>
      </c>
    </row>
    <row r="13" customFormat="false" ht="23.85" hidden="false" customHeight="false" outlineLevel="0" collapsed="false">
      <c r="A13" s="13" t="s">
        <v>425</v>
      </c>
      <c r="B13" s="13" t="s">
        <v>280</v>
      </c>
      <c r="C13" s="13" t="s">
        <v>365</v>
      </c>
      <c r="D13" s="13" t="s">
        <v>426</v>
      </c>
      <c r="E13" s="13" t="s">
        <v>427</v>
      </c>
      <c r="F13" s="13" t="s">
        <v>428</v>
      </c>
      <c r="G13" s="13" t="s">
        <v>429</v>
      </c>
      <c r="H13" s="13" t="s">
        <v>430</v>
      </c>
      <c r="I13" s="13" t="s">
        <v>363</v>
      </c>
    </row>
    <row r="14" customFormat="false" ht="23.85" hidden="false" customHeight="false" outlineLevel="0" collapsed="false">
      <c r="A14" s="13" t="s">
        <v>431</v>
      </c>
      <c r="B14" s="13" t="s">
        <v>280</v>
      </c>
      <c r="C14" s="13" t="s">
        <v>365</v>
      </c>
      <c r="D14" s="13" t="s">
        <v>432</v>
      </c>
      <c r="E14" s="13" t="s">
        <v>433</v>
      </c>
      <c r="F14" s="13" t="s">
        <v>434</v>
      </c>
      <c r="G14" s="13" t="s">
        <v>435</v>
      </c>
      <c r="H14" s="13" t="s">
        <v>436</v>
      </c>
      <c r="I14" s="13" t="s">
        <v>363</v>
      </c>
    </row>
    <row r="15" customFormat="false" ht="23.85" hidden="false" customHeight="false" outlineLevel="0" collapsed="false">
      <c r="A15" s="13" t="s">
        <v>311</v>
      </c>
      <c r="B15" s="13" t="s">
        <v>280</v>
      </c>
      <c r="C15" s="13" t="s">
        <v>365</v>
      </c>
      <c r="D15" s="13" t="s">
        <v>437</v>
      </c>
      <c r="E15" s="13" t="s">
        <v>438</v>
      </c>
      <c r="F15" s="13" t="s">
        <v>439</v>
      </c>
      <c r="G15" s="13" t="s">
        <v>440</v>
      </c>
      <c r="H15" s="13" t="s">
        <v>441</v>
      </c>
      <c r="I15" s="13" t="s">
        <v>363</v>
      </c>
    </row>
    <row r="16" customFormat="false" ht="23.85" hidden="false" customHeight="false" outlineLevel="0" collapsed="false">
      <c r="A16" s="13" t="s">
        <v>442</v>
      </c>
      <c r="B16" s="13" t="s">
        <v>280</v>
      </c>
      <c r="C16" s="13" t="s">
        <v>365</v>
      </c>
      <c r="D16" s="13" t="s">
        <v>443</v>
      </c>
      <c r="E16" s="13" t="s">
        <v>444</v>
      </c>
      <c r="F16" s="13" t="s">
        <v>445</v>
      </c>
      <c r="G16" s="13" t="s">
        <v>446</v>
      </c>
      <c r="H16" s="13" t="s">
        <v>447</v>
      </c>
      <c r="I16" s="13" t="s">
        <v>363</v>
      </c>
    </row>
    <row r="17" customFormat="false" ht="23.85" hidden="false" customHeight="false" outlineLevel="0" collapsed="false">
      <c r="A17" s="13" t="s">
        <v>448</v>
      </c>
      <c r="B17" s="13" t="s">
        <v>280</v>
      </c>
      <c r="C17" s="13" t="s">
        <v>365</v>
      </c>
      <c r="D17" s="13" t="s">
        <v>449</v>
      </c>
      <c r="E17" s="13" t="s">
        <v>450</v>
      </c>
      <c r="F17" s="13" t="s">
        <v>451</v>
      </c>
      <c r="G17" s="13" t="s">
        <v>452</v>
      </c>
      <c r="H17" s="13" t="s">
        <v>430</v>
      </c>
      <c r="I17" s="13" t="s">
        <v>363</v>
      </c>
    </row>
    <row r="18" customFormat="false" ht="23.85" hidden="false" customHeight="false" outlineLevel="0" collapsed="false">
      <c r="A18" s="13" t="s">
        <v>453</v>
      </c>
      <c r="B18" s="13" t="s">
        <v>280</v>
      </c>
      <c r="C18" s="13" t="s">
        <v>365</v>
      </c>
      <c r="D18" s="13" t="s">
        <v>454</v>
      </c>
      <c r="E18" s="13" t="s">
        <v>455</v>
      </c>
      <c r="F18" s="13" t="s">
        <v>456</v>
      </c>
      <c r="G18" s="13" t="s">
        <v>435</v>
      </c>
      <c r="H18" s="13" t="s">
        <v>430</v>
      </c>
      <c r="I18" s="13" t="s">
        <v>363</v>
      </c>
    </row>
    <row r="19" customFormat="false" ht="23.85" hidden="false" customHeight="false" outlineLevel="0" collapsed="false">
      <c r="A19" s="13" t="s">
        <v>261</v>
      </c>
      <c r="B19" s="13" t="s">
        <v>280</v>
      </c>
      <c r="C19" s="13" t="s">
        <v>365</v>
      </c>
      <c r="D19" s="13" t="s">
        <v>457</v>
      </c>
      <c r="E19" s="13" t="s">
        <v>458</v>
      </c>
      <c r="F19" s="13" t="s">
        <v>459</v>
      </c>
      <c r="G19" s="13" t="s">
        <v>435</v>
      </c>
      <c r="H19" s="13" t="s">
        <v>460</v>
      </c>
      <c r="I19" s="13" t="s">
        <v>363</v>
      </c>
    </row>
    <row r="20" customFormat="false" ht="15" hidden="false" customHeight="false" outlineLevel="0" collapsed="false">
      <c r="A20" s="13" t="s">
        <v>461</v>
      </c>
      <c r="B20" s="13" t="s">
        <v>280</v>
      </c>
      <c r="C20" s="13" t="s">
        <v>365</v>
      </c>
      <c r="D20" s="13" t="s">
        <v>462</v>
      </c>
      <c r="E20" s="13" t="s">
        <v>463</v>
      </c>
      <c r="F20" s="13" t="s">
        <v>464</v>
      </c>
      <c r="G20" s="13" t="s">
        <v>435</v>
      </c>
      <c r="H20" s="13" t="s">
        <v>430</v>
      </c>
      <c r="I20" s="13" t="s">
        <v>363</v>
      </c>
    </row>
    <row r="21" customFormat="false" ht="23.85" hidden="false" customHeight="false" outlineLevel="0" collapsed="false">
      <c r="A21" s="13" t="s">
        <v>465</v>
      </c>
      <c r="B21" s="13" t="s">
        <v>280</v>
      </c>
      <c r="C21" s="13" t="s">
        <v>365</v>
      </c>
      <c r="D21" s="13" t="s">
        <v>466</v>
      </c>
      <c r="E21" s="13" t="s">
        <v>467</v>
      </c>
      <c r="F21" s="13" t="s">
        <v>468</v>
      </c>
      <c r="G21" s="13" t="s">
        <v>469</v>
      </c>
      <c r="H21" s="13" t="s">
        <v>470</v>
      </c>
      <c r="I21" s="13" t="s">
        <v>363</v>
      </c>
    </row>
    <row r="22" customFormat="false" ht="23.85" hidden="false" customHeight="false" outlineLevel="0" collapsed="false">
      <c r="A22" s="13" t="s">
        <v>471</v>
      </c>
      <c r="B22" s="13" t="s">
        <v>280</v>
      </c>
      <c r="C22" s="13" t="s">
        <v>365</v>
      </c>
      <c r="D22" s="13" t="s">
        <v>472</v>
      </c>
      <c r="E22" s="13" t="s">
        <v>402</v>
      </c>
      <c r="F22" s="13" t="s">
        <v>473</v>
      </c>
      <c r="G22" s="13" t="s">
        <v>474</v>
      </c>
      <c r="H22" s="13" t="s">
        <v>339</v>
      </c>
      <c r="I22" s="13" t="s">
        <v>363</v>
      </c>
    </row>
    <row r="23" customFormat="false" ht="23.85" hidden="false" customHeight="false" outlineLevel="0" collapsed="false">
      <c r="A23" s="13" t="s">
        <v>304</v>
      </c>
      <c r="B23" s="13" t="s">
        <v>280</v>
      </c>
      <c r="C23" s="13" t="s">
        <v>365</v>
      </c>
      <c r="D23" s="13" t="s">
        <v>475</v>
      </c>
      <c r="E23" s="13" t="s">
        <v>476</v>
      </c>
      <c r="F23" s="13" t="s">
        <v>477</v>
      </c>
      <c r="G23" s="13" t="s">
        <v>478</v>
      </c>
      <c r="H23" s="13" t="s">
        <v>479</v>
      </c>
      <c r="I23" s="13" t="s">
        <v>363</v>
      </c>
    </row>
    <row r="24" customFormat="false" ht="23.85" hidden="false" customHeight="false" outlineLevel="0" collapsed="false">
      <c r="A24" s="13" t="s">
        <v>480</v>
      </c>
      <c r="B24" s="13" t="s">
        <v>280</v>
      </c>
      <c r="C24" s="13" t="s">
        <v>365</v>
      </c>
      <c r="D24" s="13" t="s">
        <v>481</v>
      </c>
      <c r="E24" s="13" t="s">
        <v>402</v>
      </c>
      <c r="F24" s="13" t="s">
        <v>482</v>
      </c>
      <c r="G24" s="13" t="s">
        <v>483</v>
      </c>
      <c r="H24" s="13" t="s">
        <v>339</v>
      </c>
      <c r="I24" s="13" t="s">
        <v>363</v>
      </c>
    </row>
    <row r="25" customFormat="false" ht="23.85" hidden="false" customHeight="false" outlineLevel="0" collapsed="false">
      <c r="A25" s="13" t="s">
        <v>484</v>
      </c>
      <c r="B25" s="13" t="s">
        <v>280</v>
      </c>
      <c r="C25" s="13" t="s">
        <v>365</v>
      </c>
      <c r="D25" s="13" t="s">
        <v>485</v>
      </c>
      <c r="E25" s="13" t="s">
        <v>402</v>
      </c>
      <c r="F25" s="13" t="s">
        <v>486</v>
      </c>
      <c r="G25" s="13" t="s">
        <v>487</v>
      </c>
      <c r="H25" s="13" t="s">
        <v>488</v>
      </c>
      <c r="I25" s="13" t="s">
        <v>363</v>
      </c>
    </row>
    <row r="26" customFormat="false" ht="68.65" hidden="false" customHeight="false" outlineLevel="0" collapsed="false">
      <c r="A26" s="13" t="s">
        <v>489</v>
      </c>
      <c r="B26" s="13" t="s">
        <v>280</v>
      </c>
      <c r="C26" s="13" t="s">
        <v>407</v>
      </c>
      <c r="D26" s="13" t="s">
        <v>490</v>
      </c>
      <c r="E26" s="13" t="s">
        <v>491</v>
      </c>
      <c r="F26" s="13" t="s">
        <v>492</v>
      </c>
      <c r="G26" s="13" t="s">
        <v>493</v>
      </c>
      <c r="H26" s="13" t="s">
        <v>412</v>
      </c>
      <c r="I26" s="13" t="s">
        <v>363</v>
      </c>
    </row>
    <row r="27" customFormat="false" ht="35.05" hidden="false" customHeight="false" outlineLevel="0" collapsed="false">
      <c r="A27" s="13" t="s">
        <v>494</v>
      </c>
      <c r="B27" s="13" t="s">
        <v>280</v>
      </c>
      <c r="C27" s="13" t="s">
        <v>400</v>
      </c>
      <c r="D27" s="13" t="s">
        <v>495</v>
      </c>
      <c r="E27" s="13" t="s">
        <v>402</v>
      </c>
      <c r="F27" s="13" t="s">
        <v>496</v>
      </c>
      <c r="G27" s="13" t="s">
        <v>497</v>
      </c>
      <c r="H27" s="13" t="s">
        <v>405</v>
      </c>
      <c r="I27" s="13" t="s">
        <v>363</v>
      </c>
    </row>
    <row r="28" customFormat="false" ht="15" hidden="false" customHeight="false" outlineLevel="0" collapsed="false">
      <c r="A28" s="13" t="s">
        <v>498</v>
      </c>
      <c r="B28" s="13" t="s">
        <v>272</v>
      </c>
      <c r="C28" s="13" t="s">
        <v>365</v>
      </c>
      <c r="D28" s="13" t="s">
        <v>499</v>
      </c>
      <c r="E28" s="13" t="s">
        <v>500</v>
      </c>
      <c r="F28" s="13" t="s">
        <v>501</v>
      </c>
      <c r="G28" s="13" t="s">
        <v>469</v>
      </c>
      <c r="H28" s="13" t="s">
        <v>502</v>
      </c>
      <c r="I28" s="13" t="s">
        <v>363</v>
      </c>
    </row>
    <row r="29" customFormat="false" ht="23.85" hidden="false" customHeight="false" outlineLevel="0" collapsed="false">
      <c r="A29" s="13" t="s">
        <v>503</v>
      </c>
      <c r="B29" s="13" t="s">
        <v>272</v>
      </c>
      <c r="C29" s="13" t="s">
        <v>365</v>
      </c>
      <c r="D29" s="13" t="s">
        <v>504</v>
      </c>
      <c r="E29" s="13" t="s">
        <v>505</v>
      </c>
      <c r="F29" s="13" t="s">
        <v>506</v>
      </c>
      <c r="G29" s="13" t="s">
        <v>507</v>
      </c>
      <c r="H29" s="13" t="s">
        <v>508</v>
      </c>
      <c r="I29" s="13" t="s">
        <v>363</v>
      </c>
    </row>
    <row r="30" customFormat="false" ht="23.85" hidden="false" customHeight="false" outlineLevel="0" collapsed="false">
      <c r="A30" s="13" t="s">
        <v>509</v>
      </c>
      <c r="B30" s="13" t="s">
        <v>200</v>
      </c>
      <c r="C30" s="13" t="s">
        <v>365</v>
      </c>
      <c r="D30" s="13" t="s">
        <v>510</v>
      </c>
      <c r="E30" s="13" t="s">
        <v>511</v>
      </c>
      <c r="F30" s="13" t="s">
        <v>512</v>
      </c>
      <c r="G30" s="13" t="s">
        <v>513</v>
      </c>
      <c r="H30" s="13" t="s">
        <v>514</v>
      </c>
      <c r="I30" s="13" t="s">
        <v>363</v>
      </c>
    </row>
    <row r="31" customFormat="false" ht="23.85" hidden="false" customHeight="false" outlineLevel="0" collapsed="false">
      <c r="A31" s="13" t="s">
        <v>197</v>
      </c>
      <c r="B31" s="13" t="s">
        <v>200</v>
      </c>
      <c r="C31" s="13" t="s">
        <v>365</v>
      </c>
      <c r="D31" s="13" t="s">
        <v>515</v>
      </c>
      <c r="E31" s="13" t="s">
        <v>402</v>
      </c>
      <c r="F31" s="13" t="s">
        <v>516</v>
      </c>
      <c r="G31" s="13" t="s">
        <v>517</v>
      </c>
      <c r="H31" s="13" t="s">
        <v>196</v>
      </c>
      <c r="I31" s="13" t="s">
        <v>363</v>
      </c>
    </row>
    <row r="32" customFormat="false" ht="15" hidden="false" customHeight="false" outlineLevel="0" collapsed="false">
      <c r="A32" s="13" t="s">
        <v>518</v>
      </c>
      <c r="B32" s="13" t="s">
        <v>200</v>
      </c>
      <c r="C32" s="13" t="s">
        <v>400</v>
      </c>
      <c r="D32" s="13" t="s">
        <v>519</v>
      </c>
      <c r="E32" s="13" t="s">
        <v>520</v>
      </c>
      <c r="F32" s="13" t="s">
        <v>521</v>
      </c>
      <c r="G32" s="13" t="s">
        <v>522</v>
      </c>
      <c r="H32" s="13" t="s">
        <v>405</v>
      </c>
      <c r="I32" s="13" t="s">
        <v>363</v>
      </c>
    </row>
    <row r="33" customFormat="false" ht="23.85" hidden="false" customHeight="false" outlineLevel="0" collapsed="false">
      <c r="A33" s="13" t="s">
        <v>523</v>
      </c>
      <c r="B33" s="13" t="s">
        <v>200</v>
      </c>
      <c r="C33" s="13" t="s">
        <v>400</v>
      </c>
      <c r="D33" s="13" t="s">
        <v>524</v>
      </c>
      <c r="E33" s="13" t="s">
        <v>402</v>
      </c>
      <c r="F33" s="13" t="s">
        <v>525</v>
      </c>
      <c r="G33" s="13" t="s">
        <v>526</v>
      </c>
      <c r="H33" s="13" t="s">
        <v>405</v>
      </c>
      <c r="I33" s="13" t="s">
        <v>363</v>
      </c>
    </row>
    <row r="34" customFormat="false" ht="23.85" hidden="false" customHeight="false" outlineLevel="0" collapsed="false">
      <c r="A34" s="13" t="s">
        <v>527</v>
      </c>
      <c r="B34" s="13" t="s">
        <v>200</v>
      </c>
      <c r="C34" s="13" t="s">
        <v>407</v>
      </c>
      <c r="D34" s="13" t="s">
        <v>528</v>
      </c>
      <c r="E34" s="13" t="s">
        <v>402</v>
      </c>
      <c r="F34" s="13" t="s">
        <v>529</v>
      </c>
      <c r="G34" s="13" t="s">
        <v>530</v>
      </c>
      <c r="H34" s="13" t="s">
        <v>412</v>
      </c>
      <c r="I34" s="13" t="s">
        <v>363</v>
      </c>
    </row>
    <row r="35" customFormat="false" ht="23.85" hidden="false" customHeight="false" outlineLevel="0" collapsed="false">
      <c r="A35" s="13" t="s">
        <v>177</v>
      </c>
      <c r="B35" s="13" t="s">
        <v>172</v>
      </c>
      <c r="C35" s="13" t="s">
        <v>365</v>
      </c>
      <c r="D35" s="13" t="s">
        <v>531</v>
      </c>
      <c r="E35" s="13" t="s">
        <v>532</v>
      </c>
      <c r="F35" s="13" t="s">
        <v>533</v>
      </c>
      <c r="G35" s="13" t="s">
        <v>534</v>
      </c>
      <c r="H35" s="13" t="s">
        <v>535</v>
      </c>
      <c r="I35" s="13" t="s">
        <v>363</v>
      </c>
    </row>
    <row r="36" customFormat="false" ht="23.85" hidden="false" customHeight="false" outlineLevel="0" collapsed="false">
      <c r="A36" s="13" t="s">
        <v>536</v>
      </c>
      <c r="B36" s="13" t="s">
        <v>172</v>
      </c>
      <c r="C36" s="13" t="s">
        <v>365</v>
      </c>
      <c r="D36" s="13" t="s">
        <v>537</v>
      </c>
      <c r="E36" s="13" t="s">
        <v>538</v>
      </c>
      <c r="F36" s="13" t="s">
        <v>539</v>
      </c>
      <c r="G36" s="13" t="s">
        <v>540</v>
      </c>
      <c r="H36" s="13" t="s">
        <v>541</v>
      </c>
      <c r="I36" s="13" t="s">
        <v>363</v>
      </c>
    </row>
    <row r="37" customFormat="false" ht="15" hidden="false" customHeight="false" outlineLevel="0" collapsed="false">
      <c r="A37" s="13" t="s">
        <v>542</v>
      </c>
      <c r="B37" s="13" t="s">
        <v>172</v>
      </c>
      <c r="C37" s="13" t="s">
        <v>365</v>
      </c>
      <c r="D37" s="13" t="s">
        <v>543</v>
      </c>
      <c r="E37" s="13" t="s">
        <v>544</v>
      </c>
      <c r="F37" s="13" t="s">
        <v>545</v>
      </c>
      <c r="G37" s="13" t="s">
        <v>546</v>
      </c>
      <c r="H37" s="13" t="s">
        <v>541</v>
      </c>
      <c r="I37" s="13" t="s">
        <v>363</v>
      </c>
    </row>
    <row r="38" customFormat="false" ht="23.85" hidden="false" customHeight="false" outlineLevel="0" collapsed="false">
      <c r="A38" s="13" t="s">
        <v>241</v>
      </c>
      <c r="B38" s="13" t="s">
        <v>208</v>
      </c>
      <c r="C38" s="13" t="s">
        <v>365</v>
      </c>
      <c r="D38" s="13" t="s">
        <v>547</v>
      </c>
      <c r="E38" s="13" t="s">
        <v>402</v>
      </c>
      <c r="F38" s="13" t="s">
        <v>548</v>
      </c>
      <c r="G38" s="13" t="s">
        <v>469</v>
      </c>
      <c r="H38" s="13" t="s">
        <v>549</v>
      </c>
      <c r="I38" s="13" t="s">
        <v>363</v>
      </c>
    </row>
    <row r="39" customFormat="false" ht="23.85" hidden="false" customHeight="false" outlineLevel="0" collapsed="false">
      <c r="A39" s="13" t="s">
        <v>550</v>
      </c>
      <c r="B39" s="13" t="s">
        <v>208</v>
      </c>
      <c r="C39" s="13" t="s">
        <v>365</v>
      </c>
      <c r="D39" s="13" t="s">
        <v>551</v>
      </c>
      <c r="E39" s="13" t="s">
        <v>402</v>
      </c>
      <c r="F39" s="13" t="s">
        <v>552</v>
      </c>
      <c r="G39" s="13" t="s">
        <v>553</v>
      </c>
      <c r="H39" s="13" t="s">
        <v>554</v>
      </c>
      <c r="I39" s="13" t="s">
        <v>363</v>
      </c>
    </row>
    <row r="40" customFormat="false" ht="23.85" hidden="false" customHeight="false" outlineLevel="0" collapsed="false">
      <c r="A40" s="13" t="s">
        <v>555</v>
      </c>
      <c r="B40" s="13" t="s">
        <v>208</v>
      </c>
      <c r="C40" s="13" t="s">
        <v>365</v>
      </c>
      <c r="D40" s="13" t="s">
        <v>556</v>
      </c>
      <c r="E40" s="13" t="s">
        <v>557</v>
      </c>
      <c r="F40" s="13" t="s">
        <v>558</v>
      </c>
      <c r="G40" s="13" t="s">
        <v>559</v>
      </c>
      <c r="H40" s="13" t="s">
        <v>560</v>
      </c>
      <c r="I40" s="13" t="s">
        <v>363</v>
      </c>
    </row>
    <row r="41" customFormat="false" ht="23.85" hidden="false" customHeight="false" outlineLevel="0" collapsed="false">
      <c r="A41" s="13" t="s">
        <v>561</v>
      </c>
      <c r="B41" s="13" t="s">
        <v>208</v>
      </c>
      <c r="C41" s="13" t="s">
        <v>365</v>
      </c>
      <c r="D41" s="13" t="s">
        <v>562</v>
      </c>
      <c r="E41" s="13" t="s">
        <v>402</v>
      </c>
      <c r="F41" s="13" t="s">
        <v>563</v>
      </c>
      <c r="G41" s="13" t="s">
        <v>564</v>
      </c>
      <c r="H41" s="13" t="s">
        <v>560</v>
      </c>
      <c r="I41" s="13" t="s">
        <v>363</v>
      </c>
    </row>
    <row r="42" customFormat="false" ht="23.85" hidden="false" customHeight="false" outlineLevel="0" collapsed="false">
      <c r="A42" s="13" t="s">
        <v>565</v>
      </c>
      <c r="B42" s="13" t="s">
        <v>208</v>
      </c>
      <c r="C42" s="13" t="s">
        <v>365</v>
      </c>
      <c r="D42" s="13" t="s">
        <v>566</v>
      </c>
      <c r="E42" s="13" t="s">
        <v>402</v>
      </c>
      <c r="F42" s="13" t="s">
        <v>567</v>
      </c>
      <c r="G42" s="13" t="s">
        <v>568</v>
      </c>
      <c r="H42" s="13" t="s">
        <v>560</v>
      </c>
      <c r="I42" s="13" t="s">
        <v>363</v>
      </c>
    </row>
    <row r="43" customFormat="false" ht="23.85" hidden="false" customHeight="false" outlineLevel="0" collapsed="false">
      <c r="A43" s="13" t="s">
        <v>248</v>
      </c>
      <c r="B43" s="13" t="s">
        <v>208</v>
      </c>
      <c r="C43" s="13" t="s">
        <v>365</v>
      </c>
      <c r="D43" s="13" t="s">
        <v>569</v>
      </c>
      <c r="E43" s="13" t="s">
        <v>402</v>
      </c>
      <c r="F43" s="13" t="s">
        <v>570</v>
      </c>
      <c r="G43" s="13" t="s">
        <v>571</v>
      </c>
      <c r="H43" s="13" t="s">
        <v>572</v>
      </c>
      <c r="I43" s="13" t="s">
        <v>363</v>
      </c>
    </row>
    <row r="44" customFormat="false" ht="23.85" hidden="false" customHeight="false" outlineLevel="0" collapsed="false">
      <c r="A44" s="13" t="s">
        <v>573</v>
      </c>
      <c r="B44" s="13" t="s">
        <v>208</v>
      </c>
      <c r="C44" s="13" t="s">
        <v>365</v>
      </c>
      <c r="D44" s="13" t="s">
        <v>574</v>
      </c>
      <c r="E44" s="13" t="s">
        <v>402</v>
      </c>
      <c r="F44" s="13" t="s">
        <v>575</v>
      </c>
      <c r="G44" s="13" t="s">
        <v>576</v>
      </c>
      <c r="H44" s="13" t="s">
        <v>508</v>
      </c>
      <c r="I44" s="13" t="s">
        <v>363</v>
      </c>
    </row>
    <row r="45" customFormat="false" ht="23.85" hidden="false" customHeight="false" outlineLevel="0" collapsed="false">
      <c r="A45" s="13" t="s">
        <v>577</v>
      </c>
      <c r="B45" s="13" t="s">
        <v>578</v>
      </c>
      <c r="C45" s="13" t="s">
        <v>365</v>
      </c>
      <c r="D45" s="13" t="s">
        <v>579</v>
      </c>
      <c r="E45" s="13" t="s">
        <v>402</v>
      </c>
      <c r="F45" s="13" t="s">
        <v>580</v>
      </c>
      <c r="G45" s="13" t="s">
        <v>581</v>
      </c>
      <c r="H45" s="13" t="s">
        <v>387</v>
      </c>
      <c r="I45" s="13" t="s">
        <v>363</v>
      </c>
    </row>
    <row r="46" customFormat="false" ht="23.85" hidden="false" customHeight="false" outlineLevel="0" collapsed="false">
      <c r="A46" s="13" t="s">
        <v>269</v>
      </c>
      <c r="B46" s="13" t="s">
        <v>578</v>
      </c>
      <c r="C46" s="13" t="s">
        <v>365</v>
      </c>
      <c r="D46" s="13" t="s">
        <v>582</v>
      </c>
      <c r="E46" s="13" t="s">
        <v>402</v>
      </c>
      <c r="F46" s="13" t="s">
        <v>583</v>
      </c>
      <c r="G46" s="13" t="s">
        <v>584</v>
      </c>
      <c r="H46" s="13" t="s">
        <v>585</v>
      </c>
      <c r="I46" s="13" t="s">
        <v>363</v>
      </c>
    </row>
    <row r="47" customFormat="false" ht="35.05" hidden="false" customHeight="false" outlineLevel="0" collapsed="false">
      <c r="A47" s="13" t="s">
        <v>586</v>
      </c>
      <c r="B47" s="13" t="s">
        <v>578</v>
      </c>
      <c r="C47" s="13" t="s">
        <v>365</v>
      </c>
      <c r="D47" s="13" t="s">
        <v>587</v>
      </c>
      <c r="E47" s="13" t="s">
        <v>588</v>
      </c>
      <c r="F47" s="13" t="s">
        <v>589</v>
      </c>
      <c r="G47" s="13" t="s">
        <v>590</v>
      </c>
      <c r="H47" s="13" t="s">
        <v>387</v>
      </c>
      <c r="I47" s="13" t="s">
        <v>591</v>
      </c>
    </row>
    <row r="48" customFormat="false" ht="23.85" hidden="false" customHeight="false" outlineLevel="0" collapsed="false">
      <c r="A48" s="13" t="s">
        <v>592</v>
      </c>
      <c r="B48" s="13" t="s">
        <v>320</v>
      </c>
      <c r="C48" s="13" t="s">
        <v>365</v>
      </c>
      <c r="D48" s="13" t="s">
        <v>593</v>
      </c>
      <c r="E48" s="13" t="s">
        <v>402</v>
      </c>
      <c r="F48" s="13" t="s">
        <v>594</v>
      </c>
      <c r="G48" s="13" t="s">
        <v>78</v>
      </c>
      <c r="H48" s="13" t="s">
        <v>595</v>
      </c>
      <c r="I48" s="13" t="s">
        <v>363</v>
      </c>
    </row>
    <row r="49" customFormat="false" ht="23.85" hidden="false" customHeight="false" outlineLevel="0" collapsed="false">
      <c r="A49" s="13" t="s">
        <v>596</v>
      </c>
      <c r="B49" s="13" t="s">
        <v>320</v>
      </c>
      <c r="C49" s="13" t="s">
        <v>365</v>
      </c>
      <c r="D49" s="13" t="s">
        <v>597</v>
      </c>
      <c r="E49" s="13" t="s">
        <v>402</v>
      </c>
      <c r="F49" s="13" t="s">
        <v>598</v>
      </c>
      <c r="G49" s="13" t="s">
        <v>599</v>
      </c>
      <c r="H49" s="13" t="s">
        <v>600</v>
      </c>
      <c r="I49" s="13" t="s">
        <v>363</v>
      </c>
    </row>
    <row r="50" customFormat="false" ht="23.85" hidden="false" customHeight="false" outlineLevel="0" collapsed="false">
      <c r="A50" s="13" t="s">
        <v>601</v>
      </c>
      <c r="B50" s="13" t="s">
        <v>320</v>
      </c>
      <c r="C50" s="13" t="s">
        <v>365</v>
      </c>
      <c r="D50" s="13" t="s">
        <v>602</v>
      </c>
      <c r="E50" s="13" t="s">
        <v>402</v>
      </c>
      <c r="F50" s="13" t="s">
        <v>603</v>
      </c>
      <c r="G50" s="13" t="s">
        <v>604</v>
      </c>
      <c r="H50" s="13" t="s">
        <v>605</v>
      </c>
      <c r="I50" s="13" t="s">
        <v>363</v>
      </c>
    </row>
    <row r="51" customFormat="false" ht="23.85" hidden="false" customHeight="false" outlineLevel="0" collapsed="false">
      <c r="A51" s="13" t="s">
        <v>155</v>
      </c>
      <c r="B51" s="13" t="s">
        <v>606</v>
      </c>
      <c r="C51" s="13" t="s">
        <v>365</v>
      </c>
      <c r="D51" s="13" t="s">
        <v>607</v>
      </c>
      <c r="E51" s="13" t="s">
        <v>402</v>
      </c>
      <c r="F51" s="13" t="s">
        <v>608</v>
      </c>
      <c r="G51" s="13" t="s">
        <v>609</v>
      </c>
      <c r="H51" s="13" t="s">
        <v>610</v>
      </c>
      <c r="I51" s="13" t="s">
        <v>363</v>
      </c>
    </row>
    <row r="52" customFormat="false" ht="23.85" hidden="false" customHeight="false" outlineLevel="0" collapsed="false">
      <c r="A52" s="13" t="s">
        <v>611</v>
      </c>
      <c r="B52" s="13" t="s">
        <v>606</v>
      </c>
      <c r="C52" s="13" t="s">
        <v>365</v>
      </c>
      <c r="D52" s="13" t="s">
        <v>612</v>
      </c>
      <c r="E52" s="13" t="s">
        <v>402</v>
      </c>
      <c r="F52" s="13" t="s">
        <v>613</v>
      </c>
      <c r="G52" s="13" t="s">
        <v>614</v>
      </c>
      <c r="H52" s="13" t="s">
        <v>615</v>
      </c>
      <c r="I52" s="13" t="s">
        <v>363</v>
      </c>
    </row>
    <row r="53" customFormat="false" ht="23.85" hidden="false" customHeight="false" outlineLevel="0" collapsed="false">
      <c r="A53" s="13" t="s">
        <v>616</v>
      </c>
      <c r="B53" s="13" t="s">
        <v>617</v>
      </c>
      <c r="C53" s="13" t="s">
        <v>365</v>
      </c>
      <c r="D53" s="13" t="s">
        <v>618</v>
      </c>
      <c r="E53" s="13" t="s">
        <v>402</v>
      </c>
      <c r="F53" s="13" t="s">
        <v>619</v>
      </c>
      <c r="G53" s="13" t="s">
        <v>620</v>
      </c>
      <c r="H53" s="13" t="s">
        <v>621</v>
      </c>
      <c r="I53" s="13" t="s">
        <v>363</v>
      </c>
    </row>
    <row r="54" customFormat="false" ht="23.85" hidden="false" customHeight="false" outlineLevel="0" collapsed="false">
      <c r="A54" s="13" t="s">
        <v>347</v>
      </c>
      <c r="B54" s="13" t="s">
        <v>622</v>
      </c>
      <c r="C54" s="13" t="s">
        <v>623</v>
      </c>
      <c r="D54" s="13" t="s">
        <v>624</v>
      </c>
      <c r="E54" s="13" t="s">
        <v>402</v>
      </c>
      <c r="F54" s="13" t="s">
        <v>625</v>
      </c>
      <c r="G54" s="13" t="s">
        <v>626</v>
      </c>
      <c r="H54" s="13" t="s">
        <v>627</v>
      </c>
      <c r="I54" s="13" t="s">
        <v>363</v>
      </c>
    </row>
  </sheetData>
  <conditionalFormatting sqref="I2:I54">
    <cfRule type="expression" priority="2" aboveAverage="0" equalAverage="0" bottom="0" percent="0" rank="0" text="" dxfId="6">
      <formula>ISNUMBER(SEARCH("changed",I2))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70"/>
  </cols>
  <sheetData>
    <row r="1" customFormat="false" ht="23.85" hidden="false" customHeight="false" outlineLevel="0" collapsed="false">
      <c r="A1" s="12" t="s">
        <v>628</v>
      </c>
      <c r="B1" s="12" t="s">
        <v>629</v>
      </c>
      <c r="C1" s="12" t="s">
        <v>630</v>
      </c>
      <c r="D1" s="12" t="s">
        <v>631</v>
      </c>
      <c r="E1" s="12" t="s">
        <v>632</v>
      </c>
      <c r="F1" s="12" t="s">
        <v>633</v>
      </c>
      <c r="G1" s="12" t="s">
        <v>634</v>
      </c>
    </row>
    <row r="2" customFormat="false" ht="15" hidden="false" customHeight="false" outlineLevel="0" collapsed="false">
      <c r="A2" s="13" t="s">
        <v>635</v>
      </c>
      <c r="B2" s="13" t="s">
        <v>636</v>
      </c>
      <c r="C2" s="13" t="s">
        <v>637</v>
      </c>
      <c r="D2" s="13" t="s">
        <v>638</v>
      </c>
      <c r="E2" s="13" t="s">
        <v>639</v>
      </c>
      <c r="F2" s="13" t="s">
        <v>357</v>
      </c>
      <c r="G2" s="13" t="s">
        <v>640</v>
      </c>
    </row>
    <row r="3" customFormat="false" ht="23.85" hidden="false" customHeight="false" outlineLevel="0" collapsed="false">
      <c r="A3" s="13" t="s">
        <v>641</v>
      </c>
      <c r="B3" s="13" t="s">
        <v>636</v>
      </c>
      <c r="C3" s="13" t="s">
        <v>637</v>
      </c>
      <c r="D3" s="13" t="s">
        <v>642</v>
      </c>
      <c r="E3" s="13" t="s">
        <v>639</v>
      </c>
      <c r="F3" s="13" t="s">
        <v>357</v>
      </c>
      <c r="G3" s="13" t="s">
        <v>643</v>
      </c>
    </row>
    <row r="4" customFormat="false" ht="23.85" hidden="false" customHeight="false" outlineLevel="0" collapsed="false">
      <c r="A4" s="13" t="s">
        <v>644</v>
      </c>
      <c r="B4" s="13" t="s">
        <v>636</v>
      </c>
      <c r="C4" s="13" t="s">
        <v>645</v>
      </c>
      <c r="D4" s="13" t="s">
        <v>642</v>
      </c>
      <c r="E4" s="13" t="s">
        <v>639</v>
      </c>
      <c r="F4" s="13" t="s">
        <v>357</v>
      </c>
      <c r="G4" s="13" t="s">
        <v>646</v>
      </c>
    </row>
    <row r="5" customFormat="false" ht="15" hidden="false" customHeight="false" outlineLevel="0" collapsed="false">
      <c r="A5" s="13" t="s">
        <v>647</v>
      </c>
      <c r="B5" s="13" t="s">
        <v>636</v>
      </c>
      <c r="C5" s="13" t="s">
        <v>648</v>
      </c>
      <c r="D5" s="13" t="s">
        <v>649</v>
      </c>
      <c r="E5" s="13" t="s">
        <v>639</v>
      </c>
      <c r="F5" s="13" t="s">
        <v>357</v>
      </c>
      <c r="G5" s="13" t="s">
        <v>650</v>
      </c>
    </row>
    <row r="6" customFormat="false" ht="15" hidden="false" customHeight="false" outlineLevel="0" collapsed="false">
      <c r="A6" s="13" t="s">
        <v>651</v>
      </c>
      <c r="B6" s="13" t="s">
        <v>636</v>
      </c>
      <c r="C6" s="13" t="s">
        <v>648</v>
      </c>
      <c r="D6" s="13" t="s">
        <v>652</v>
      </c>
      <c r="E6" s="13" t="s">
        <v>639</v>
      </c>
      <c r="F6" s="13" t="s">
        <v>357</v>
      </c>
      <c r="G6" s="13" t="s">
        <v>653</v>
      </c>
    </row>
    <row r="7" customFormat="false" ht="15" hidden="false" customHeight="false" outlineLevel="0" collapsed="false">
      <c r="A7" s="13" t="s">
        <v>654</v>
      </c>
      <c r="B7" s="13" t="s">
        <v>636</v>
      </c>
      <c r="C7" s="13" t="s">
        <v>648</v>
      </c>
      <c r="D7" s="13" t="s">
        <v>655</v>
      </c>
      <c r="E7" s="13" t="s">
        <v>639</v>
      </c>
      <c r="F7" s="13" t="s">
        <v>357</v>
      </c>
      <c r="G7" s="13" t="s">
        <v>656</v>
      </c>
    </row>
    <row r="8" customFormat="false" ht="15" hidden="false" customHeight="false" outlineLevel="0" collapsed="false">
      <c r="A8" s="13" t="s">
        <v>657</v>
      </c>
      <c r="B8" s="13" t="s">
        <v>636</v>
      </c>
      <c r="C8" s="13" t="s">
        <v>648</v>
      </c>
      <c r="D8" s="13" t="s">
        <v>658</v>
      </c>
      <c r="E8" s="13" t="s">
        <v>639</v>
      </c>
      <c r="F8" s="13" t="s">
        <v>357</v>
      </c>
      <c r="G8" s="13" t="s">
        <v>659</v>
      </c>
    </row>
    <row r="9" customFormat="false" ht="23.85" hidden="false" customHeight="false" outlineLevel="0" collapsed="false">
      <c r="A9" s="13" t="s">
        <v>660</v>
      </c>
      <c r="B9" s="13" t="s">
        <v>636</v>
      </c>
      <c r="C9" s="13" t="s">
        <v>661</v>
      </c>
      <c r="D9" s="13" t="s">
        <v>662</v>
      </c>
      <c r="E9" s="13" t="s">
        <v>639</v>
      </c>
      <c r="F9" s="13" t="s">
        <v>357</v>
      </c>
      <c r="G9" s="13" t="s">
        <v>663</v>
      </c>
    </row>
    <row r="10" customFormat="false" ht="15" hidden="false" customHeight="false" outlineLevel="0" collapsed="false">
      <c r="A10" s="13" t="s">
        <v>664</v>
      </c>
      <c r="B10" s="13" t="s">
        <v>636</v>
      </c>
      <c r="C10" s="13" t="s">
        <v>665</v>
      </c>
      <c r="D10" s="13" t="s">
        <v>156</v>
      </c>
      <c r="E10" s="13" t="s">
        <v>639</v>
      </c>
      <c r="F10" s="13" t="s">
        <v>666</v>
      </c>
      <c r="G10" s="13" t="s">
        <v>667</v>
      </c>
    </row>
    <row r="11" customFormat="false" ht="15" hidden="false" customHeight="false" outlineLevel="0" collapsed="false">
      <c r="A11" s="13" t="s">
        <v>668</v>
      </c>
      <c r="B11" s="13" t="s">
        <v>669</v>
      </c>
      <c r="C11" s="13" t="s">
        <v>670</v>
      </c>
      <c r="D11" s="13" t="s">
        <v>671</v>
      </c>
      <c r="E11" s="13" t="s">
        <v>672</v>
      </c>
      <c r="F11" s="13" t="s">
        <v>357</v>
      </c>
      <c r="G11" s="13" t="s">
        <v>673</v>
      </c>
    </row>
    <row r="12" customFormat="false" ht="15" hidden="false" customHeight="false" outlineLevel="0" collapsed="false">
      <c r="A12" s="13" t="s">
        <v>674</v>
      </c>
      <c r="B12" s="13" t="s">
        <v>669</v>
      </c>
      <c r="C12" s="13" t="s">
        <v>670</v>
      </c>
      <c r="D12" s="13" t="s">
        <v>675</v>
      </c>
      <c r="E12" s="13" t="s">
        <v>672</v>
      </c>
      <c r="F12" s="13" t="s">
        <v>357</v>
      </c>
      <c r="G12" s="13" t="s">
        <v>676</v>
      </c>
    </row>
    <row r="13" customFormat="false" ht="15" hidden="false" customHeight="false" outlineLevel="0" collapsed="false">
      <c r="A13" s="13" t="s">
        <v>260</v>
      </c>
      <c r="B13" s="13" t="s">
        <v>669</v>
      </c>
      <c r="C13" s="13" t="s">
        <v>670</v>
      </c>
      <c r="D13" s="13" t="s">
        <v>677</v>
      </c>
      <c r="E13" s="13" t="s">
        <v>672</v>
      </c>
      <c r="F13" s="13" t="s">
        <v>357</v>
      </c>
      <c r="G13" s="13" t="s">
        <v>678</v>
      </c>
    </row>
    <row r="14" customFormat="false" ht="15" hidden="false" customHeight="false" outlineLevel="0" collapsed="false">
      <c r="A14" s="13" t="s">
        <v>679</v>
      </c>
      <c r="B14" s="13" t="s">
        <v>669</v>
      </c>
      <c r="C14" s="13" t="s">
        <v>680</v>
      </c>
      <c r="D14" s="13" t="s">
        <v>681</v>
      </c>
      <c r="E14" s="13" t="s">
        <v>672</v>
      </c>
      <c r="F14" s="13" t="s">
        <v>357</v>
      </c>
      <c r="G14" s="13" t="s">
        <v>682</v>
      </c>
    </row>
    <row r="15" customFormat="false" ht="23.85" hidden="false" customHeight="false" outlineLevel="0" collapsed="false">
      <c r="A15" s="13" t="s">
        <v>683</v>
      </c>
      <c r="B15" s="13" t="s">
        <v>669</v>
      </c>
      <c r="C15" s="13" t="s">
        <v>648</v>
      </c>
      <c r="D15" s="13" t="s">
        <v>684</v>
      </c>
      <c r="E15" s="13" t="s">
        <v>672</v>
      </c>
      <c r="F15" s="13" t="s">
        <v>357</v>
      </c>
      <c r="G15" s="13" t="s">
        <v>685</v>
      </c>
    </row>
    <row r="16" customFormat="false" ht="15" hidden="false" customHeight="false" outlineLevel="0" collapsed="false">
      <c r="A16" s="13" t="s">
        <v>686</v>
      </c>
      <c r="B16" s="13" t="s">
        <v>669</v>
      </c>
      <c r="C16" s="13" t="s">
        <v>680</v>
      </c>
      <c r="D16" s="13" t="s">
        <v>681</v>
      </c>
      <c r="E16" s="13" t="s">
        <v>672</v>
      </c>
      <c r="F16" s="13" t="s">
        <v>357</v>
      </c>
      <c r="G16" s="13" t="s">
        <v>687</v>
      </c>
    </row>
    <row r="17" customFormat="false" ht="15" hidden="false" customHeight="false" outlineLevel="0" collapsed="false">
      <c r="A17" s="13" t="s">
        <v>688</v>
      </c>
      <c r="B17" s="13" t="s">
        <v>669</v>
      </c>
      <c r="C17" s="13" t="s">
        <v>665</v>
      </c>
      <c r="D17" s="13" t="s">
        <v>156</v>
      </c>
      <c r="E17" s="13" t="s">
        <v>689</v>
      </c>
      <c r="F17" s="13" t="s">
        <v>666</v>
      </c>
      <c r="G17" s="13" t="s">
        <v>690</v>
      </c>
    </row>
    <row r="18" customFormat="false" ht="15" hidden="false" customHeight="false" outlineLevel="0" collapsed="false">
      <c r="A18" s="13" t="s">
        <v>691</v>
      </c>
      <c r="B18" s="13" t="s">
        <v>669</v>
      </c>
      <c r="C18" s="13" t="s">
        <v>692</v>
      </c>
      <c r="D18" s="13" t="s">
        <v>642</v>
      </c>
      <c r="E18" s="13" t="s">
        <v>639</v>
      </c>
      <c r="F18" s="13" t="s">
        <v>357</v>
      </c>
      <c r="G18" s="13" t="s">
        <v>693</v>
      </c>
    </row>
    <row r="19" customFormat="false" ht="15" hidden="false" customHeight="false" outlineLevel="0" collapsed="false">
      <c r="A19" s="13" t="s">
        <v>694</v>
      </c>
      <c r="B19" s="13" t="s">
        <v>669</v>
      </c>
      <c r="C19" s="13" t="s">
        <v>692</v>
      </c>
      <c r="D19" s="13" t="s">
        <v>695</v>
      </c>
      <c r="E19" s="13" t="s">
        <v>639</v>
      </c>
      <c r="F19" s="13" t="s">
        <v>357</v>
      </c>
      <c r="G19" s="13" t="s">
        <v>696</v>
      </c>
    </row>
    <row r="20" customFormat="false" ht="15" hidden="false" customHeight="false" outlineLevel="0" collapsed="false">
      <c r="A20" s="13" t="s">
        <v>697</v>
      </c>
      <c r="B20" s="13" t="s">
        <v>669</v>
      </c>
      <c r="C20" s="13" t="s">
        <v>698</v>
      </c>
      <c r="D20" s="13" t="s">
        <v>699</v>
      </c>
      <c r="E20" s="13" t="s">
        <v>639</v>
      </c>
      <c r="F20" s="13" t="s">
        <v>357</v>
      </c>
      <c r="G20" s="13" t="s">
        <v>700</v>
      </c>
    </row>
    <row r="21" customFormat="false" ht="15" hidden="false" customHeight="false" outlineLevel="0" collapsed="false">
      <c r="A21" s="13" t="s">
        <v>701</v>
      </c>
      <c r="B21" s="13" t="s">
        <v>702</v>
      </c>
      <c r="C21" s="13" t="s">
        <v>703</v>
      </c>
      <c r="D21" s="13" t="s">
        <v>642</v>
      </c>
      <c r="E21" s="13" t="s">
        <v>639</v>
      </c>
      <c r="F21" s="13" t="s">
        <v>357</v>
      </c>
      <c r="G21" s="13" t="s">
        <v>704</v>
      </c>
    </row>
    <row r="22" customFormat="false" ht="15" hidden="false" customHeight="false" outlineLevel="0" collapsed="false">
      <c r="A22" s="13" t="s">
        <v>705</v>
      </c>
      <c r="B22" s="13" t="s">
        <v>702</v>
      </c>
      <c r="C22" s="13" t="s">
        <v>706</v>
      </c>
      <c r="D22" s="13" t="s">
        <v>642</v>
      </c>
      <c r="E22" s="13" t="s">
        <v>639</v>
      </c>
      <c r="F22" s="13" t="s">
        <v>357</v>
      </c>
      <c r="G22" s="13" t="s">
        <v>707</v>
      </c>
    </row>
    <row r="23" customFormat="false" ht="15" hidden="false" customHeight="false" outlineLevel="0" collapsed="false">
      <c r="A23" s="13" t="s">
        <v>708</v>
      </c>
      <c r="B23" s="13" t="s">
        <v>702</v>
      </c>
      <c r="C23" s="13" t="s">
        <v>709</v>
      </c>
      <c r="D23" s="13" t="s">
        <v>156</v>
      </c>
      <c r="E23" s="13" t="s">
        <v>639</v>
      </c>
      <c r="F23" s="13" t="s">
        <v>357</v>
      </c>
      <c r="G23" s="13" t="s">
        <v>710</v>
      </c>
    </row>
    <row r="24" customFormat="false" ht="15" hidden="false" customHeight="false" outlineLevel="0" collapsed="false">
      <c r="A24" s="13" t="s">
        <v>711</v>
      </c>
      <c r="B24" s="13" t="s">
        <v>702</v>
      </c>
      <c r="C24" s="13" t="s">
        <v>637</v>
      </c>
      <c r="D24" s="13" t="s">
        <v>712</v>
      </c>
      <c r="E24" s="13" t="s">
        <v>639</v>
      </c>
      <c r="F24" s="13" t="s">
        <v>357</v>
      </c>
      <c r="G24" s="13" t="s">
        <v>713</v>
      </c>
    </row>
    <row r="25" customFormat="false" ht="15" hidden="false" customHeight="false" outlineLevel="0" collapsed="false">
      <c r="A25" s="13" t="s">
        <v>714</v>
      </c>
      <c r="B25" s="13" t="s">
        <v>702</v>
      </c>
      <c r="C25" s="13" t="s">
        <v>670</v>
      </c>
      <c r="D25" s="13" t="s">
        <v>715</v>
      </c>
      <c r="E25" s="13" t="s">
        <v>639</v>
      </c>
      <c r="F25" s="13" t="s">
        <v>357</v>
      </c>
      <c r="G25" s="13" t="s">
        <v>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2" t="s">
        <v>633</v>
      </c>
      <c r="B1" s="12" t="s">
        <v>629</v>
      </c>
      <c r="C1" s="12" t="s">
        <v>717</v>
      </c>
      <c r="D1" s="12" t="s">
        <v>631</v>
      </c>
      <c r="E1" s="12" t="s">
        <v>718</v>
      </c>
    </row>
    <row r="2" customFormat="false" ht="23.85" hidden="false" customHeight="false" outlineLevel="0" collapsed="false">
      <c r="A2" s="13" t="s">
        <v>400</v>
      </c>
      <c r="B2" s="13" t="s">
        <v>633</v>
      </c>
      <c r="C2" s="13" t="s">
        <v>719</v>
      </c>
      <c r="D2" s="13" t="s">
        <v>642</v>
      </c>
      <c r="E2" s="13" t="s">
        <v>720</v>
      </c>
    </row>
    <row r="3" customFormat="false" ht="15" hidden="false" customHeight="false" outlineLevel="0" collapsed="false">
      <c r="A3" s="13" t="s">
        <v>400</v>
      </c>
      <c r="B3" s="13" t="s">
        <v>633</v>
      </c>
      <c r="C3" s="13" t="s">
        <v>721</v>
      </c>
      <c r="D3" s="13" t="s">
        <v>722</v>
      </c>
      <c r="E3" s="13" t="s">
        <v>723</v>
      </c>
    </row>
    <row r="4" customFormat="false" ht="15" hidden="false" customHeight="false" outlineLevel="0" collapsed="false">
      <c r="A4" s="13" t="s">
        <v>400</v>
      </c>
      <c r="B4" s="13" t="s">
        <v>633</v>
      </c>
      <c r="C4" s="13" t="s">
        <v>724</v>
      </c>
      <c r="D4" s="13" t="s">
        <v>725</v>
      </c>
      <c r="E4" s="13" t="s">
        <v>726</v>
      </c>
    </row>
    <row r="5" customFormat="false" ht="15" hidden="false" customHeight="false" outlineLevel="0" collapsed="false">
      <c r="A5" s="13" t="s">
        <v>400</v>
      </c>
      <c r="B5" s="13" t="s">
        <v>633</v>
      </c>
      <c r="C5" s="13" t="s">
        <v>727</v>
      </c>
      <c r="D5" s="13" t="s">
        <v>728</v>
      </c>
      <c r="E5" s="13" t="s">
        <v>729</v>
      </c>
    </row>
    <row r="6" customFormat="false" ht="15" hidden="false" customHeight="false" outlineLevel="0" collapsed="false">
      <c r="A6" s="13" t="s">
        <v>400</v>
      </c>
      <c r="B6" s="13" t="s">
        <v>669</v>
      </c>
      <c r="C6" s="13" t="s">
        <v>730</v>
      </c>
      <c r="D6" s="13" t="s">
        <v>642</v>
      </c>
      <c r="E6" s="13" t="s">
        <v>731</v>
      </c>
    </row>
    <row r="7" customFormat="false" ht="15" hidden="false" customHeight="false" outlineLevel="0" collapsed="false">
      <c r="A7" s="13" t="s">
        <v>400</v>
      </c>
      <c r="B7" s="13" t="s">
        <v>669</v>
      </c>
      <c r="C7" s="13" t="s">
        <v>732</v>
      </c>
      <c r="D7" s="13" t="s">
        <v>642</v>
      </c>
      <c r="E7" s="13" t="s">
        <v>733</v>
      </c>
    </row>
    <row r="8" customFormat="false" ht="15" hidden="false" customHeight="false" outlineLevel="0" collapsed="false">
      <c r="A8" s="13" t="s">
        <v>400</v>
      </c>
      <c r="B8" s="13" t="s">
        <v>669</v>
      </c>
      <c r="C8" s="13" t="s">
        <v>734</v>
      </c>
      <c r="D8" s="13" t="s">
        <v>735</v>
      </c>
      <c r="E8" s="13" t="s">
        <v>736</v>
      </c>
    </row>
    <row r="9" customFormat="false" ht="15" hidden="false" customHeight="false" outlineLevel="0" collapsed="false">
      <c r="A9" s="13" t="s">
        <v>407</v>
      </c>
      <c r="B9" s="13" t="s">
        <v>633</v>
      </c>
      <c r="C9" s="13" t="s">
        <v>737</v>
      </c>
      <c r="D9" s="13" t="s">
        <v>642</v>
      </c>
      <c r="E9" s="13" t="s">
        <v>738</v>
      </c>
    </row>
    <row r="10" customFormat="false" ht="15" hidden="false" customHeight="false" outlineLevel="0" collapsed="false">
      <c r="A10" s="13" t="s">
        <v>407</v>
      </c>
      <c r="B10" s="13" t="s">
        <v>633</v>
      </c>
      <c r="C10" s="13" t="s">
        <v>739</v>
      </c>
      <c r="D10" s="13" t="s">
        <v>740</v>
      </c>
      <c r="E10" s="13" t="s">
        <v>741</v>
      </c>
    </row>
    <row r="11" customFormat="false" ht="15" hidden="false" customHeight="false" outlineLevel="0" collapsed="false">
      <c r="A11" s="13" t="s">
        <v>407</v>
      </c>
      <c r="B11" s="13" t="s">
        <v>633</v>
      </c>
      <c r="C11" s="13" t="s">
        <v>742</v>
      </c>
      <c r="D11" s="13" t="s">
        <v>655</v>
      </c>
      <c r="E11" s="13" t="s">
        <v>743</v>
      </c>
    </row>
    <row r="12" customFormat="false" ht="15" hidden="false" customHeight="false" outlineLevel="0" collapsed="false">
      <c r="A12" s="13" t="s">
        <v>407</v>
      </c>
      <c r="B12" s="13" t="s">
        <v>669</v>
      </c>
      <c r="C12" s="13" t="s">
        <v>744</v>
      </c>
      <c r="D12" s="13" t="s">
        <v>745</v>
      </c>
      <c r="E12" s="13" t="s">
        <v>746</v>
      </c>
    </row>
    <row r="13" customFormat="false" ht="15" hidden="false" customHeight="false" outlineLevel="0" collapsed="false">
      <c r="A13" s="13" t="s">
        <v>407</v>
      </c>
      <c r="B13" s="13" t="s">
        <v>669</v>
      </c>
      <c r="C13" s="13" t="s">
        <v>747</v>
      </c>
      <c r="D13" s="13" t="s">
        <v>748</v>
      </c>
      <c r="E13" s="13" t="s">
        <v>749</v>
      </c>
    </row>
    <row r="14" customFormat="false" ht="15" hidden="false" customHeight="false" outlineLevel="0" collapsed="false">
      <c r="A14" s="13" t="s">
        <v>407</v>
      </c>
      <c r="B14" s="13" t="s">
        <v>669</v>
      </c>
      <c r="C14" s="13" t="s">
        <v>750</v>
      </c>
      <c r="D14" s="13" t="s">
        <v>751</v>
      </c>
      <c r="E14" s="13" t="s">
        <v>752</v>
      </c>
    </row>
    <row r="15" customFormat="false" ht="15" hidden="false" customHeight="false" outlineLevel="0" collapsed="false">
      <c r="A15" s="13" t="s">
        <v>407</v>
      </c>
      <c r="B15" s="13" t="s">
        <v>669</v>
      </c>
      <c r="C15" s="13" t="s">
        <v>753</v>
      </c>
      <c r="D15" s="13" t="s">
        <v>156</v>
      </c>
      <c r="E15" s="13" t="s">
        <v>754</v>
      </c>
    </row>
    <row r="16" customFormat="false" ht="15" hidden="false" customHeight="false" outlineLevel="0" collapsed="false">
      <c r="A16" s="13" t="s">
        <v>407</v>
      </c>
      <c r="B16" s="13" t="s">
        <v>669</v>
      </c>
      <c r="C16" s="13" t="s">
        <v>755</v>
      </c>
      <c r="D16" s="13" t="s">
        <v>156</v>
      </c>
      <c r="E16" s="13" t="s">
        <v>756</v>
      </c>
    </row>
    <row r="17" customFormat="false" ht="15" hidden="false" customHeight="false" outlineLevel="0" collapsed="false">
      <c r="A17" s="13" t="s">
        <v>407</v>
      </c>
      <c r="B17" s="13" t="s">
        <v>669</v>
      </c>
      <c r="C17" s="13" t="s">
        <v>757</v>
      </c>
      <c r="D17" s="13" t="s">
        <v>758</v>
      </c>
      <c r="E17" s="13"/>
    </row>
    <row r="18" customFormat="false" ht="15" hidden="false" customHeight="false" outlineLevel="0" collapsed="false">
      <c r="A18" s="13" t="s">
        <v>407</v>
      </c>
      <c r="B18" s="13" t="s">
        <v>669</v>
      </c>
      <c r="C18" s="13" t="s">
        <v>759</v>
      </c>
      <c r="D18" s="13" t="s">
        <v>758</v>
      </c>
      <c r="E18" s="13" t="s">
        <v>760</v>
      </c>
    </row>
    <row r="19" customFormat="false" ht="15" hidden="false" customHeight="false" outlineLevel="0" collapsed="false">
      <c r="A19" s="13" t="s">
        <v>407</v>
      </c>
      <c r="B19" s="13" t="s">
        <v>669</v>
      </c>
      <c r="C19" s="13" t="s">
        <v>761</v>
      </c>
      <c r="D19" s="13" t="s">
        <v>758</v>
      </c>
      <c r="E19" s="13" t="s">
        <v>762</v>
      </c>
    </row>
    <row r="20" customFormat="false" ht="15" hidden="false" customHeight="false" outlineLevel="0" collapsed="false">
      <c r="A20" s="13" t="s">
        <v>407</v>
      </c>
      <c r="B20" s="13" t="s">
        <v>669</v>
      </c>
      <c r="C20" s="13" t="s">
        <v>763</v>
      </c>
      <c r="D20" s="13" t="s">
        <v>758</v>
      </c>
      <c r="E20" s="13" t="s">
        <v>764</v>
      </c>
    </row>
    <row r="21" customFormat="false" ht="15" hidden="false" customHeight="false" outlineLevel="0" collapsed="false">
      <c r="A21" s="13" t="s">
        <v>407</v>
      </c>
      <c r="B21" s="13" t="s">
        <v>669</v>
      </c>
      <c r="C21" s="13" t="s">
        <v>765</v>
      </c>
      <c r="D21" s="13" t="s">
        <v>758</v>
      </c>
      <c r="E21" s="13"/>
    </row>
    <row r="22" customFormat="false" ht="15" hidden="false" customHeight="false" outlineLevel="0" collapsed="false">
      <c r="A22" s="13" t="s">
        <v>407</v>
      </c>
      <c r="B22" s="13" t="s">
        <v>669</v>
      </c>
      <c r="C22" s="13" t="s">
        <v>766</v>
      </c>
      <c r="D22" s="13" t="s">
        <v>758</v>
      </c>
      <c r="E22" s="13"/>
    </row>
    <row r="23" customFormat="false" ht="15" hidden="false" customHeight="false" outlineLevel="0" collapsed="false">
      <c r="A23" s="13" t="s">
        <v>407</v>
      </c>
      <c r="B23" s="13" t="s">
        <v>669</v>
      </c>
      <c r="C23" s="13" t="s">
        <v>767</v>
      </c>
      <c r="D23" s="13" t="s">
        <v>758</v>
      </c>
      <c r="E23" s="13"/>
    </row>
    <row r="24" customFormat="false" ht="15" hidden="false" customHeight="false" outlineLevel="0" collapsed="false">
      <c r="A24" s="13" t="s">
        <v>407</v>
      </c>
      <c r="B24" s="13" t="s">
        <v>669</v>
      </c>
      <c r="C24" s="13" t="s">
        <v>768</v>
      </c>
      <c r="D24" s="13" t="s">
        <v>156</v>
      </c>
      <c r="E24" s="13" t="s">
        <v>769</v>
      </c>
    </row>
    <row r="25" customFormat="false" ht="15" hidden="false" customHeight="false" outlineLevel="0" collapsed="false">
      <c r="A25" s="13" t="s">
        <v>407</v>
      </c>
      <c r="B25" s="13" t="s">
        <v>669</v>
      </c>
      <c r="C25" s="13" t="s">
        <v>770</v>
      </c>
      <c r="D25" s="13" t="s">
        <v>771</v>
      </c>
      <c r="E25" s="13" t="s">
        <v>772</v>
      </c>
    </row>
    <row r="26" customFormat="false" ht="15" hidden="false" customHeight="false" outlineLevel="0" collapsed="false">
      <c r="A26" s="13" t="s">
        <v>638</v>
      </c>
      <c r="B26" s="13" t="s">
        <v>773</v>
      </c>
      <c r="C26" s="13" t="s">
        <v>774</v>
      </c>
      <c r="D26" s="13" t="s">
        <v>156</v>
      </c>
      <c r="E26" s="13" t="s">
        <v>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58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2" t="s">
        <v>350</v>
      </c>
      <c r="B1" s="12" t="s">
        <v>776</v>
      </c>
      <c r="C1" s="12" t="s">
        <v>777</v>
      </c>
      <c r="D1" s="12" t="s">
        <v>778</v>
      </c>
      <c r="E1" s="12" t="s">
        <v>779</v>
      </c>
      <c r="F1" s="12" t="s">
        <v>780</v>
      </c>
    </row>
    <row r="2" customFormat="false" ht="15" hidden="false" customHeight="false" outlineLevel="0" collapsed="false">
      <c r="A2" s="13" t="s">
        <v>781</v>
      </c>
      <c r="B2" s="13" t="s">
        <v>782</v>
      </c>
      <c r="C2" s="13" t="s">
        <v>783</v>
      </c>
      <c r="D2" s="13" t="s">
        <v>692</v>
      </c>
      <c r="E2" s="13" t="s">
        <v>784</v>
      </c>
      <c r="F2" s="13" t="s">
        <v>785</v>
      </c>
    </row>
    <row r="3" customFormat="false" ht="15" hidden="false" customHeight="false" outlineLevel="0" collapsed="false">
      <c r="A3" s="13" t="s">
        <v>781</v>
      </c>
      <c r="B3" s="13" t="s">
        <v>782</v>
      </c>
      <c r="C3" s="13" t="s">
        <v>786</v>
      </c>
      <c r="D3" s="13" t="s">
        <v>692</v>
      </c>
      <c r="E3" s="13" t="s">
        <v>787</v>
      </c>
      <c r="F3" s="13" t="s">
        <v>785</v>
      </c>
    </row>
    <row r="4" customFormat="false" ht="15" hidden="false" customHeight="false" outlineLevel="0" collapsed="false">
      <c r="A4" s="13" t="s">
        <v>781</v>
      </c>
      <c r="B4" s="13" t="s">
        <v>782</v>
      </c>
      <c r="C4" s="13" t="s">
        <v>788</v>
      </c>
      <c r="D4" s="13" t="s">
        <v>692</v>
      </c>
      <c r="E4" s="13" t="s">
        <v>789</v>
      </c>
      <c r="F4" s="13" t="s">
        <v>785</v>
      </c>
    </row>
    <row r="5" customFormat="false" ht="15" hidden="false" customHeight="false" outlineLevel="0" collapsed="false">
      <c r="A5" s="13" t="s">
        <v>781</v>
      </c>
      <c r="B5" s="13" t="s">
        <v>782</v>
      </c>
      <c r="C5" s="13" t="s">
        <v>790</v>
      </c>
      <c r="D5" s="13" t="s">
        <v>692</v>
      </c>
      <c r="E5" s="13" t="s">
        <v>791</v>
      </c>
      <c r="F5" s="13" t="s">
        <v>785</v>
      </c>
    </row>
    <row r="6" customFormat="false" ht="15" hidden="false" customHeight="false" outlineLevel="0" collapsed="false">
      <c r="A6" s="13" t="s">
        <v>781</v>
      </c>
      <c r="B6" s="13" t="s">
        <v>792</v>
      </c>
      <c r="C6" s="13" t="s">
        <v>793</v>
      </c>
      <c r="D6" s="13" t="s">
        <v>794</v>
      </c>
      <c r="E6" s="13" t="s">
        <v>795</v>
      </c>
      <c r="F6" s="13" t="s">
        <v>785</v>
      </c>
    </row>
    <row r="7" customFormat="false" ht="15" hidden="false" customHeight="false" outlineLevel="0" collapsed="false">
      <c r="A7" s="13" t="s">
        <v>781</v>
      </c>
      <c r="B7" s="13" t="s">
        <v>792</v>
      </c>
      <c r="C7" s="13" t="s">
        <v>702</v>
      </c>
      <c r="D7" s="13" t="s">
        <v>794</v>
      </c>
      <c r="E7" s="13" t="s">
        <v>796</v>
      </c>
      <c r="F7" s="13" t="s">
        <v>785</v>
      </c>
    </row>
    <row r="8" customFormat="false" ht="15" hidden="false" customHeight="false" outlineLevel="0" collapsed="false">
      <c r="A8" s="13" t="s">
        <v>781</v>
      </c>
      <c r="B8" s="13" t="s">
        <v>792</v>
      </c>
      <c r="C8" s="13" t="s">
        <v>797</v>
      </c>
      <c r="D8" s="13" t="s">
        <v>670</v>
      </c>
      <c r="E8" s="13" t="s">
        <v>798</v>
      </c>
      <c r="F8" s="13" t="s">
        <v>785</v>
      </c>
    </row>
    <row r="9" customFormat="false" ht="15" hidden="false" customHeight="false" outlineLevel="0" collapsed="false">
      <c r="A9" s="13" t="s">
        <v>781</v>
      </c>
      <c r="B9" s="13" t="s">
        <v>799</v>
      </c>
      <c r="C9" s="13" t="s">
        <v>800</v>
      </c>
      <c r="D9" s="13" t="s">
        <v>692</v>
      </c>
      <c r="E9" s="13" t="s">
        <v>801</v>
      </c>
      <c r="F9" s="13" t="s">
        <v>785</v>
      </c>
    </row>
    <row r="10" customFormat="false" ht="15" hidden="false" customHeight="false" outlineLevel="0" collapsed="false">
      <c r="A10" s="13" t="s">
        <v>781</v>
      </c>
      <c r="B10" s="13" t="s">
        <v>802</v>
      </c>
      <c r="C10" s="13" t="s">
        <v>803</v>
      </c>
      <c r="D10" s="13" t="s">
        <v>692</v>
      </c>
      <c r="E10" s="13" t="s">
        <v>804</v>
      </c>
      <c r="F10" s="13" t="s">
        <v>785</v>
      </c>
    </row>
    <row r="11" customFormat="false" ht="15" hidden="false" customHeight="false" outlineLevel="0" collapsed="false">
      <c r="A11" s="13" t="s">
        <v>781</v>
      </c>
      <c r="B11" s="13" t="s">
        <v>802</v>
      </c>
      <c r="C11" s="13" t="s">
        <v>805</v>
      </c>
      <c r="D11" s="13" t="s">
        <v>692</v>
      </c>
      <c r="E11" s="13" t="s">
        <v>806</v>
      </c>
      <c r="F11" s="13" t="s">
        <v>785</v>
      </c>
    </row>
    <row r="12" customFormat="false" ht="15" hidden="false" customHeight="false" outlineLevel="0" collapsed="false">
      <c r="A12" s="13" t="s">
        <v>781</v>
      </c>
      <c r="B12" s="13" t="s">
        <v>807</v>
      </c>
      <c r="C12" s="13" t="s">
        <v>633</v>
      </c>
      <c r="D12" s="13" t="s">
        <v>808</v>
      </c>
      <c r="E12" s="13" t="s">
        <v>809</v>
      </c>
      <c r="F12" s="13" t="s">
        <v>810</v>
      </c>
    </row>
    <row r="13" customFormat="false" ht="15" hidden="false" customHeight="false" outlineLevel="0" collapsed="false">
      <c r="A13" s="13" t="s">
        <v>781</v>
      </c>
      <c r="B13" s="13" t="s">
        <v>807</v>
      </c>
      <c r="C13" s="13" t="s">
        <v>811</v>
      </c>
      <c r="D13" s="13" t="s">
        <v>808</v>
      </c>
      <c r="E13" s="13" t="s">
        <v>812</v>
      </c>
      <c r="F13" s="13" t="s">
        <v>810</v>
      </c>
    </row>
    <row r="14" customFormat="false" ht="15" hidden="false" customHeight="false" outlineLevel="0" collapsed="false">
      <c r="A14" s="13" t="s">
        <v>781</v>
      </c>
      <c r="B14" s="13" t="s">
        <v>807</v>
      </c>
      <c r="C14" s="13" t="s">
        <v>813</v>
      </c>
      <c r="D14" s="13" t="s">
        <v>692</v>
      </c>
      <c r="E14" s="13" t="s">
        <v>814</v>
      </c>
      <c r="F14" s="13" t="s">
        <v>810</v>
      </c>
    </row>
    <row r="15" customFormat="false" ht="15" hidden="false" customHeight="false" outlineLevel="0" collapsed="false">
      <c r="A15" s="13" t="s">
        <v>781</v>
      </c>
      <c r="B15" s="13" t="s">
        <v>807</v>
      </c>
      <c r="C15" s="13" t="s">
        <v>815</v>
      </c>
      <c r="D15" s="13" t="s">
        <v>692</v>
      </c>
      <c r="E15" s="13" t="s">
        <v>816</v>
      </c>
      <c r="F15" s="13" t="s">
        <v>810</v>
      </c>
    </row>
    <row r="16" customFormat="false" ht="15" hidden="false" customHeight="false" outlineLevel="0" collapsed="false">
      <c r="A16" s="13" t="s">
        <v>781</v>
      </c>
      <c r="B16" s="13" t="s">
        <v>807</v>
      </c>
      <c r="C16" s="13" t="s">
        <v>817</v>
      </c>
      <c r="D16" s="13" t="s">
        <v>692</v>
      </c>
      <c r="E16" s="13" t="s">
        <v>818</v>
      </c>
      <c r="F16" s="13" t="s">
        <v>810</v>
      </c>
    </row>
    <row r="17" customFormat="false" ht="15" hidden="false" customHeight="false" outlineLevel="0" collapsed="false">
      <c r="A17" s="13" t="s">
        <v>781</v>
      </c>
      <c r="B17" s="13" t="s">
        <v>819</v>
      </c>
      <c r="C17" s="13" t="s">
        <v>118</v>
      </c>
      <c r="D17" s="13" t="s">
        <v>692</v>
      </c>
      <c r="E17" s="13" t="s">
        <v>820</v>
      </c>
      <c r="F17" s="13" t="s">
        <v>633</v>
      </c>
    </row>
    <row r="18" customFormat="false" ht="15" hidden="false" customHeight="false" outlineLevel="0" collapsed="false">
      <c r="A18" s="13" t="s">
        <v>781</v>
      </c>
      <c r="B18" s="13" t="s">
        <v>821</v>
      </c>
      <c r="C18" s="13" t="s">
        <v>822</v>
      </c>
      <c r="D18" s="13" t="s">
        <v>692</v>
      </c>
      <c r="E18" s="13" t="s">
        <v>823</v>
      </c>
      <c r="F18" s="13" t="s">
        <v>785</v>
      </c>
    </row>
    <row r="19" customFormat="false" ht="15" hidden="false" customHeight="false" outlineLevel="0" collapsed="false">
      <c r="A19" s="13" t="s">
        <v>781</v>
      </c>
      <c r="B19" s="13" t="s">
        <v>821</v>
      </c>
      <c r="C19" s="13" t="s">
        <v>154</v>
      </c>
      <c r="D19" s="13" t="s">
        <v>692</v>
      </c>
      <c r="E19" s="13" t="s">
        <v>824</v>
      </c>
      <c r="F19" s="13" t="s">
        <v>785</v>
      </c>
    </row>
    <row r="20" customFormat="false" ht="15" hidden="false" customHeight="false" outlineLevel="0" collapsed="false">
      <c r="A20" s="13" t="s">
        <v>781</v>
      </c>
      <c r="B20" s="13" t="s">
        <v>825</v>
      </c>
      <c r="C20" s="13" t="s">
        <v>826</v>
      </c>
      <c r="D20" s="13" t="s">
        <v>692</v>
      </c>
      <c r="E20" s="13" t="s">
        <v>827</v>
      </c>
      <c r="F20" s="13" t="s">
        <v>828</v>
      </c>
    </row>
    <row r="21" customFormat="false" ht="15" hidden="false" customHeight="false" outlineLevel="0" collapsed="false">
      <c r="A21" s="13" t="s">
        <v>829</v>
      </c>
      <c r="B21" s="13" t="s">
        <v>830</v>
      </c>
      <c r="C21" s="13" t="s">
        <v>831</v>
      </c>
      <c r="D21" s="13" t="s">
        <v>692</v>
      </c>
      <c r="E21" s="13" t="s">
        <v>832</v>
      </c>
      <c r="F21" s="13" t="s">
        <v>633</v>
      </c>
    </row>
    <row r="22" customFormat="false" ht="15" hidden="false" customHeight="false" outlineLevel="0" collapsed="false">
      <c r="A22" s="13" t="s">
        <v>833</v>
      </c>
      <c r="B22" s="13" t="s">
        <v>834</v>
      </c>
      <c r="C22" s="13" t="s">
        <v>110</v>
      </c>
      <c r="D22" s="13" t="s">
        <v>692</v>
      </c>
      <c r="E22" s="13" t="s">
        <v>835</v>
      </c>
      <c r="F22" s="13" t="s">
        <v>633</v>
      </c>
    </row>
    <row r="23" customFormat="false" ht="23.85" hidden="false" customHeight="false" outlineLevel="0" collapsed="false">
      <c r="A23" s="13" t="s">
        <v>836</v>
      </c>
      <c r="B23" s="13" t="s">
        <v>837</v>
      </c>
      <c r="C23" s="13" t="s">
        <v>838</v>
      </c>
      <c r="D23" s="13" t="s">
        <v>839</v>
      </c>
      <c r="E23" s="13" t="s">
        <v>840</v>
      </c>
      <c r="F23" s="13" t="s">
        <v>841</v>
      </c>
    </row>
    <row r="24" customFormat="false" ht="15" hidden="false" customHeight="false" outlineLevel="0" collapsed="false">
      <c r="A24" s="13" t="s">
        <v>842</v>
      </c>
      <c r="B24" s="13" t="s">
        <v>843</v>
      </c>
      <c r="C24" s="13" t="s">
        <v>844</v>
      </c>
      <c r="D24" s="13" t="s">
        <v>845</v>
      </c>
      <c r="E24" s="13" t="s">
        <v>846</v>
      </c>
      <c r="F24" s="13" t="s">
        <v>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2"/>
  </cols>
  <sheetData>
    <row r="1" customFormat="false" ht="23.85" hidden="false" customHeight="false" outlineLevel="0" collapsed="false">
      <c r="A1" s="12" t="s">
        <v>847</v>
      </c>
      <c r="B1" s="12" t="s">
        <v>848</v>
      </c>
      <c r="C1" s="12" t="s">
        <v>849</v>
      </c>
      <c r="D1" s="12" t="s">
        <v>850</v>
      </c>
      <c r="E1" s="12" t="s">
        <v>851</v>
      </c>
      <c r="F1" s="12" t="s">
        <v>852</v>
      </c>
      <c r="G1" s="12" t="s">
        <v>853</v>
      </c>
    </row>
    <row r="2" customFormat="false" ht="15" hidden="false" customHeight="false" outlineLevel="0" collapsed="false">
      <c r="A2" s="13" t="s">
        <v>854</v>
      </c>
      <c r="B2" s="13" t="s">
        <v>855</v>
      </c>
      <c r="C2" s="13" t="s">
        <v>856</v>
      </c>
      <c r="D2" s="13" t="s">
        <v>857</v>
      </c>
      <c r="E2" s="13" t="s">
        <v>857</v>
      </c>
      <c r="F2" s="13" t="s">
        <v>857</v>
      </c>
      <c r="G2" s="13" t="s">
        <v>857</v>
      </c>
    </row>
    <row r="3" customFormat="false" ht="15" hidden="false" customHeight="false" outlineLevel="0" collapsed="false">
      <c r="A3" s="13" t="s">
        <v>854</v>
      </c>
      <c r="B3" s="13" t="s">
        <v>858</v>
      </c>
      <c r="C3" s="13" t="s">
        <v>859</v>
      </c>
      <c r="D3" s="13" t="s">
        <v>857</v>
      </c>
      <c r="E3" s="13" t="s">
        <v>857</v>
      </c>
      <c r="F3" s="13" t="s">
        <v>857</v>
      </c>
      <c r="G3" s="13" t="s">
        <v>857</v>
      </c>
    </row>
    <row r="4" customFormat="false" ht="15" hidden="false" customHeight="false" outlineLevel="0" collapsed="false">
      <c r="A4" s="13" t="s">
        <v>854</v>
      </c>
      <c r="B4" s="13" t="s">
        <v>860</v>
      </c>
      <c r="C4" s="13" t="s">
        <v>861</v>
      </c>
      <c r="D4" s="13" t="s">
        <v>857</v>
      </c>
      <c r="E4" s="13" t="s">
        <v>857</v>
      </c>
      <c r="F4" s="13" t="s">
        <v>857</v>
      </c>
      <c r="G4" s="13" t="s">
        <v>857</v>
      </c>
    </row>
    <row r="5" customFormat="false" ht="15" hidden="false" customHeight="false" outlineLevel="0" collapsed="false">
      <c r="A5" s="13" t="s">
        <v>854</v>
      </c>
      <c r="B5" s="13" t="s">
        <v>862</v>
      </c>
      <c r="C5" s="13" t="s">
        <v>863</v>
      </c>
      <c r="D5" s="13" t="s">
        <v>857</v>
      </c>
      <c r="E5" s="13" t="s">
        <v>857</v>
      </c>
      <c r="F5" s="13" t="s">
        <v>857</v>
      </c>
      <c r="G5" s="13" t="s">
        <v>857</v>
      </c>
    </row>
    <row r="6" customFormat="false" ht="15" hidden="false" customHeight="false" outlineLevel="0" collapsed="false">
      <c r="A6" s="13" t="s">
        <v>854</v>
      </c>
      <c r="B6" s="13" t="s">
        <v>864</v>
      </c>
      <c r="C6" s="13" t="s">
        <v>865</v>
      </c>
      <c r="D6" s="13" t="s">
        <v>857</v>
      </c>
      <c r="E6" s="13" t="s">
        <v>857</v>
      </c>
      <c r="F6" s="13" t="s">
        <v>857</v>
      </c>
      <c r="G6" s="13" t="s">
        <v>857</v>
      </c>
    </row>
    <row r="7" customFormat="false" ht="15" hidden="false" customHeight="false" outlineLevel="0" collapsed="false">
      <c r="A7" s="13" t="s">
        <v>854</v>
      </c>
      <c r="B7" s="13" t="s">
        <v>866</v>
      </c>
      <c r="C7" s="13" t="s">
        <v>867</v>
      </c>
      <c r="D7" s="13" t="s">
        <v>857</v>
      </c>
      <c r="E7" s="13" t="s">
        <v>857</v>
      </c>
      <c r="F7" s="13" t="s">
        <v>857</v>
      </c>
      <c r="G7" s="13" t="s">
        <v>857</v>
      </c>
    </row>
    <row r="8" customFormat="false" ht="15" hidden="false" customHeight="false" outlineLevel="0" collapsed="false">
      <c r="A8" s="13" t="s">
        <v>854</v>
      </c>
      <c r="B8" s="13" t="s">
        <v>198</v>
      </c>
      <c r="C8" s="13" t="s">
        <v>868</v>
      </c>
      <c r="D8" s="13" t="s">
        <v>857</v>
      </c>
      <c r="E8" s="13" t="s">
        <v>857</v>
      </c>
      <c r="F8" s="13" t="s">
        <v>857</v>
      </c>
      <c r="G8" s="13" t="s">
        <v>857</v>
      </c>
    </row>
    <row r="9" customFormat="false" ht="23.85" hidden="false" customHeight="false" outlineLevel="0" collapsed="false">
      <c r="A9" s="13" t="s">
        <v>854</v>
      </c>
      <c r="B9" s="13" t="s">
        <v>184</v>
      </c>
      <c r="C9" s="13" t="s">
        <v>869</v>
      </c>
      <c r="D9" s="13" t="s">
        <v>857</v>
      </c>
      <c r="E9" s="13" t="s">
        <v>857</v>
      </c>
      <c r="F9" s="13" t="s">
        <v>857</v>
      </c>
      <c r="G9" s="13" t="s">
        <v>857</v>
      </c>
    </row>
    <row r="10" customFormat="false" ht="15" hidden="false" customHeight="false" outlineLevel="0" collapsed="false">
      <c r="A10" s="13" t="s">
        <v>854</v>
      </c>
      <c r="B10" s="13" t="s">
        <v>870</v>
      </c>
      <c r="C10" s="13" t="s">
        <v>871</v>
      </c>
      <c r="D10" s="13" t="s">
        <v>857</v>
      </c>
      <c r="E10" s="13" t="s">
        <v>857</v>
      </c>
      <c r="F10" s="13" t="s">
        <v>857</v>
      </c>
      <c r="G10" s="13" t="s">
        <v>857</v>
      </c>
    </row>
    <row r="11" customFormat="false" ht="15" hidden="false" customHeight="false" outlineLevel="0" collapsed="false">
      <c r="A11" s="13" t="s">
        <v>854</v>
      </c>
      <c r="B11" s="13" t="s">
        <v>270</v>
      </c>
      <c r="C11" s="13" t="s">
        <v>872</v>
      </c>
      <c r="D11" s="13" t="s">
        <v>857</v>
      </c>
      <c r="E11" s="13" t="s">
        <v>857</v>
      </c>
      <c r="F11" s="13" t="s">
        <v>857</v>
      </c>
      <c r="G11" s="13" t="s">
        <v>857</v>
      </c>
    </row>
    <row r="12" customFormat="false" ht="15" hidden="false" customHeight="false" outlineLevel="0" collapsed="false">
      <c r="A12" s="13" t="s">
        <v>854</v>
      </c>
      <c r="B12" s="13" t="s">
        <v>242</v>
      </c>
      <c r="C12" s="13" t="s">
        <v>873</v>
      </c>
      <c r="D12" s="13" t="s">
        <v>857</v>
      </c>
      <c r="E12" s="13" t="s">
        <v>857</v>
      </c>
      <c r="F12" s="13" t="s">
        <v>857</v>
      </c>
      <c r="G12" s="13" t="s">
        <v>857</v>
      </c>
    </row>
    <row r="13" customFormat="false" ht="15" hidden="false" customHeight="false" outlineLevel="0" collapsed="false">
      <c r="A13" s="13" t="s">
        <v>854</v>
      </c>
      <c r="B13" s="13" t="s">
        <v>874</v>
      </c>
      <c r="C13" s="13" t="s">
        <v>875</v>
      </c>
      <c r="D13" s="13" t="s">
        <v>857</v>
      </c>
      <c r="E13" s="13" t="s">
        <v>857</v>
      </c>
      <c r="F13" s="13" t="s">
        <v>857</v>
      </c>
      <c r="G13" s="13" t="s">
        <v>857</v>
      </c>
    </row>
    <row r="14" customFormat="false" ht="15" hidden="false" customHeight="false" outlineLevel="0" collapsed="false">
      <c r="A14" s="13" t="s">
        <v>854</v>
      </c>
      <c r="B14" s="13" t="s">
        <v>876</v>
      </c>
      <c r="C14" s="13" t="s">
        <v>877</v>
      </c>
      <c r="D14" s="13" t="s">
        <v>857</v>
      </c>
      <c r="E14" s="13" t="s">
        <v>857</v>
      </c>
      <c r="F14" s="13" t="s">
        <v>857</v>
      </c>
      <c r="G14" s="13" t="s">
        <v>857</v>
      </c>
    </row>
    <row r="15" customFormat="false" ht="15" hidden="false" customHeight="false" outlineLevel="0" collapsed="false">
      <c r="A15" s="13" t="s">
        <v>854</v>
      </c>
      <c r="B15" s="13" t="s">
        <v>249</v>
      </c>
      <c r="C15" s="13" t="s">
        <v>878</v>
      </c>
      <c r="D15" s="13" t="s">
        <v>857</v>
      </c>
      <c r="E15" s="13" t="s">
        <v>857</v>
      </c>
      <c r="F15" s="13" t="s">
        <v>857</v>
      </c>
      <c r="G15" s="13" t="s">
        <v>857</v>
      </c>
    </row>
    <row r="16" customFormat="false" ht="15" hidden="false" customHeight="false" outlineLevel="0" collapsed="false">
      <c r="A16" s="13" t="s">
        <v>854</v>
      </c>
      <c r="B16" s="13" t="s">
        <v>879</v>
      </c>
      <c r="C16" s="13" t="s">
        <v>880</v>
      </c>
      <c r="D16" s="13" t="s">
        <v>857</v>
      </c>
      <c r="E16" s="13" t="s">
        <v>857</v>
      </c>
      <c r="F16" s="13" t="s">
        <v>857</v>
      </c>
      <c r="G16" s="13" t="s">
        <v>857</v>
      </c>
    </row>
    <row r="17" customFormat="false" ht="15" hidden="false" customHeight="false" outlineLevel="0" collapsed="false">
      <c r="A17" s="13" t="s">
        <v>854</v>
      </c>
      <c r="B17" s="13" t="s">
        <v>881</v>
      </c>
      <c r="C17" s="13" t="s">
        <v>882</v>
      </c>
      <c r="D17" s="13" t="s">
        <v>857</v>
      </c>
      <c r="E17" s="13" t="s">
        <v>857</v>
      </c>
      <c r="F17" s="13" t="s">
        <v>857</v>
      </c>
      <c r="G17" s="13" t="s">
        <v>857</v>
      </c>
    </row>
    <row r="18" customFormat="false" ht="15" hidden="false" customHeight="false" outlineLevel="0" collapsed="false">
      <c r="A18" s="13" t="s">
        <v>854</v>
      </c>
      <c r="B18" s="13" t="s">
        <v>883</v>
      </c>
      <c r="C18" s="13" t="s">
        <v>884</v>
      </c>
      <c r="D18" s="13" t="s">
        <v>857</v>
      </c>
      <c r="E18" s="13" t="s">
        <v>857</v>
      </c>
      <c r="F18" s="13" t="s">
        <v>857</v>
      </c>
      <c r="G18" s="13" t="s">
        <v>857</v>
      </c>
    </row>
    <row r="19" customFormat="false" ht="15" hidden="false" customHeight="false" outlineLevel="0" collapsed="false">
      <c r="A19" s="13" t="s">
        <v>854</v>
      </c>
      <c r="B19" s="13" t="s">
        <v>885</v>
      </c>
      <c r="C19" s="13" t="s">
        <v>886</v>
      </c>
      <c r="D19" s="13" t="s">
        <v>857</v>
      </c>
      <c r="E19" s="13" t="s">
        <v>857</v>
      </c>
      <c r="F19" s="13" t="s">
        <v>857</v>
      </c>
      <c r="G19" s="13" t="s">
        <v>857</v>
      </c>
    </row>
    <row r="20" customFormat="false" ht="15" hidden="false" customHeight="false" outlineLevel="0" collapsed="false">
      <c r="A20" s="13" t="s">
        <v>854</v>
      </c>
      <c r="B20" s="13" t="s">
        <v>82</v>
      </c>
      <c r="C20" s="13" t="s">
        <v>887</v>
      </c>
      <c r="D20" s="13" t="s">
        <v>857</v>
      </c>
      <c r="E20" s="13" t="s">
        <v>857</v>
      </c>
      <c r="F20" s="13" t="s">
        <v>857</v>
      </c>
      <c r="G20" s="13" t="s">
        <v>857</v>
      </c>
    </row>
    <row r="21" customFormat="false" ht="15" hidden="false" customHeight="false" outlineLevel="0" collapsed="false">
      <c r="A21" s="13" t="s">
        <v>854</v>
      </c>
      <c r="B21" s="13" t="s">
        <v>888</v>
      </c>
      <c r="C21" s="13" t="s">
        <v>889</v>
      </c>
      <c r="D21" s="13" t="s">
        <v>857</v>
      </c>
      <c r="E21" s="13" t="s">
        <v>857</v>
      </c>
      <c r="F21" s="13" t="s">
        <v>857</v>
      </c>
      <c r="G21" s="13" t="s">
        <v>857</v>
      </c>
    </row>
    <row r="22" customFormat="false" ht="15" hidden="false" customHeight="false" outlineLevel="0" collapsed="false">
      <c r="A22" s="13" t="s">
        <v>854</v>
      </c>
      <c r="B22" s="13" t="s">
        <v>312</v>
      </c>
      <c r="C22" s="13" t="s">
        <v>890</v>
      </c>
      <c r="D22" s="13" t="s">
        <v>857</v>
      </c>
      <c r="E22" s="13" t="s">
        <v>857</v>
      </c>
      <c r="F22" s="13" t="s">
        <v>857</v>
      </c>
      <c r="G22" s="13" t="s">
        <v>857</v>
      </c>
    </row>
    <row r="23" customFormat="false" ht="15" hidden="false" customHeight="false" outlineLevel="0" collapsed="false">
      <c r="A23" s="13" t="s">
        <v>854</v>
      </c>
      <c r="B23" s="13" t="s">
        <v>891</v>
      </c>
      <c r="C23" s="13" t="s">
        <v>892</v>
      </c>
      <c r="D23" s="13" t="s">
        <v>857</v>
      </c>
      <c r="E23" s="13" t="s">
        <v>857</v>
      </c>
      <c r="F23" s="13" t="s">
        <v>857</v>
      </c>
      <c r="G23" s="13" t="s">
        <v>857</v>
      </c>
    </row>
    <row r="24" customFormat="false" ht="15" hidden="false" customHeight="false" outlineLevel="0" collapsed="false">
      <c r="A24" s="13" t="s">
        <v>893</v>
      </c>
      <c r="B24" s="13" t="s">
        <v>221</v>
      </c>
      <c r="C24" s="13" t="s">
        <v>894</v>
      </c>
      <c r="D24" s="13" t="s">
        <v>857</v>
      </c>
      <c r="E24" s="13" t="s">
        <v>402</v>
      </c>
      <c r="F24" s="13" t="s">
        <v>402</v>
      </c>
      <c r="G24" s="13" t="s">
        <v>402</v>
      </c>
    </row>
    <row r="25" customFormat="false" ht="15" hidden="false" customHeight="false" outlineLevel="0" collapsed="false">
      <c r="A25" s="13" t="s">
        <v>893</v>
      </c>
      <c r="B25" s="13" t="s">
        <v>895</v>
      </c>
      <c r="C25" s="13" t="s">
        <v>896</v>
      </c>
      <c r="D25" s="13" t="s">
        <v>857</v>
      </c>
      <c r="E25" s="13" t="s">
        <v>402</v>
      </c>
      <c r="F25" s="13" t="s">
        <v>402</v>
      </c>
      <c r="G25" s="13" t="s">
        <v>402</v>
      </c>
    </row>
    <row r="26" customFormat="false" ht="15" hidden="false" customHeight="false" outlineLevel="0" collapsed="false">
      <c r="A26" s="13" t="s">
        <v>893</v>
      </c>
      <c r="B26" s="13" t="s">
        <v>285</v>
      </c>
      <c r="C26" s="13" t="s">
        <v>897</v>
      </c>
      <c r="D26" s="13" t="s">
        <v>857</v>
      </c>
      <c r="E26" s="13" t="s">
        <v>402</v>
      </c>
      <c r="F26" s="13" t="s">
        <v>402</v>
      </c>
      <c r="G26" s="13" t="s">
        <v>402</v>
      </c>
    </row>
    <row r="27" customFormat="false" ht="35.05" hidden="false" customHeight="false" outlineLevel="0" collapsed="false">
      <c r="A27" s="13" t="s">
        <v>893</v>
      </c>
      <c r="B27" s="13" t="s">
        <v>97</v>
      </c>
      <c r="C27" s="13" t="s">
        <v>898</v>
      </c>
      <c r="D27" s="13" t="s">
        <v>857</v>
      </c>
      <c r="E27" s="13" t="s">
        <v>402</v>
      </c>
      <c r="F27" s="13" t="s">
        <v>402</v>
      </c>
      <c r="G27" s="13" t="s">
        <v>402</v>
      </c>
    </row>
    <row r="28" customFormat="false" ht="15" hidden="false" customHeight="false" outlineLevel="0" collapsed="false">
      <c r="A28" s="13" t="s">
        <v>893</v>
      </c>
      <c r="B28" s="13" t="s">
        <v>899</v>
      </c>
      <c r="C28" s="13" t="s">
        <v>900</v>
      </c>
      <c r="D28" s="13" t="s">
        <v>857</v>
      </c>
      <c r="E28" s="13" t="s">
        <v>402</v>
      </c>
      <c r="F28" s="13" t="s">
        <v>402</v>
      </c>
      <c r="G28" s="13" t="s">
        <v>402</v>
      </c>
    </row>
    <row r="29" customFormat="false" ht="15" hidden="false" customHeight="false" outlineLevel="0" collapsed="false">
      <c r="A29" s="13" t="s">
        <v>893</v>
      </c>
      <c r="B29" s="13" t="s">
        <v>901</v>
      </c>
      <c r="C29" s="13" t="s">
        <v>902</v>
      </c>
      <c r="D29" s="13" t="s">
        <v>857</v>
      </c>
      <c r="E29" s="13" t="s">
        <v>402</v>
      </c>
      <c r="F29" s="13" t="s">
        <v>402</v>
      </c>
      <c r="G29" s="13" t="s">
        <v>402</v>
      </c>
    </row>
    <row r="30" customFormat="false" ht="15" hidden="false" customHeight="false" outlineLevel="0" collapsed="false">
      <c r="A30" s="13" t="s">
        <v>893</v>
      </c>
      <c r="B30" s="13" t="s">
        <v>903</v>
      </c>
      <c r="C30" s="13" t="s">
        <v>904</v>
      </c>
      <c r="D30" s="13" t="s">
        <v>857</v>
      </c>
      <c r="E30" s="13" t="s">
        <v>402</v>
      </c>
      <c r="F30" s="13" t="s">
        <v>402</v>
      </c>
      <c r="G30" s="13" t="s">
        <v>402</v>
      </c>
    </row>
    <row r="31" customFormat="false" ht="15" hidden="false" customHeight="false" outlineLevel="0" collapsed="false">
      <c r="A31" s="13" t="s">
        <v>905</v>
      </c>
      <c r="B31" s="13" t="s">
        <v>88</v>
      </c>
      <c r="C31" s="13" t="s">
        <v>906</v>
      </c>
      <c r="D31" s="13" t="s">
        <v>857</v>
      </c>
      <c r="E31" s="13" t="s">
        <v>402</v>
      </c>
      <c r="F31" s="13" t="s">
        <v>402</v>
      </c>
      <c r="G31" s="13" t="s">
        <v>402</v>
      </c>
    </row>
  </sheetData>
  <conditionalFormatting sqref="D2:D31">
    <cfRule type="expression" priority="2" aboveAverage="0" equalAverage="0" bottom="0" percent="0" rank="0" text="" dxfId="5">
      <formula>D2="PASS"</formula>
    </cfRule>
    <cfRule type="expression" priority="3" aboveAverage="0" equalAverage="0" bottom="0" percent="0" rank="0" text="" dxfId="7">
      <formula>D2="FAIL"</formula>
    </cfRule>
  </conditionalFormatting>
  <conditionalFormatting sqref="E2:E31">
    <cfRule type="expression" priority="4" aboveAverage="0" equalAverage="0" bottom="0" percent="0" rank="0" text="" dxfId="5">
      <formula>E2="PASS"</formula>
    </cfRule>
    <cfRule type="expression" priority="5" aboveAverage="0" equalAverage="0" bottom="0" percent="0" rank="0" text="" dxfId="7">
      <formula>E2="FAIL"</formula>
    </cfRule>
  </conditionalFormatting>
  <conditionalFormatting sqref="F2:F31">
    <cfRule type="expression" priority="6" aboveAverage="0" equalAverage="0" bottom="0" percent="0" rank="0" text="" dxfId="5">
      <formula>F2="PASS"</formula>
    </cfRule>
    <cfRule type="expression" priority="7" aboveAverage="0" equalAverage="0" bottom="0" percent="0" rank="0" text="" dxfId="7">
      <formula>F2="FAIL"</formula>
    </cfRule>
  </conditionalFormatting>
  <conditionalFormatting sqref="G2:G31">
    <cfRule type="expression" priority="8" aboveAverage="0" equalAverage="0" bottom="0" percent="0" rank="0" text="" dxfId="5">
      <formula>G2="PASS"</formula>
    </cfRule>
    <cfRule type="expression" priority="9" aboveAverage="0" equalAverage="0" bottom="0" percent="0" rank="0" text="" dxfId="7">
      <formula>G2="FAIL"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12" t="s">
        <v>630</v>
      </c>
      <c r="B1" s="12" t="s">
        <v>907</v>
      </c>
      <c r="C1" s="12" t="s">
        <v>50</v>
      </c>
      <c r="D1" s="12" t="s">
        <v>908</v>
      </c>
    </row>
    <row r="2" customFormat="false" ht="15" hidden="false" customHeight="false" outlineLevel="0" collapsed="false">
      <c r="A2" s="13" t="s">
        <v>909</v>
      </c>
      <c r="B2" s="13" t="s">
        <v>910</v>
      </c>
      <c r="C2" s="13" t="s">
        <v>911</v>
      </c>
      <c r="D2" s="13" t="s">
        <v>912</v>
      </c>
    </row>
    <row r="3" customFormat="false" ht="15" hidden="false" customHeight="false" outlineLevel="0" collapsed="false">
      <c r="A3" s="13" t="s">
        <v>909</v>
      </c>
      <c r="B3" s="13" t="s">
        <v>913</v>
      </c>
      <c r="C3" s="13" t="s">
        <v>911</v>
      </c>
      <c r="D3" s="13" t="s">
        <v>914</v>
      </c>
    </row>
    <row r="4" customFormat="false" ht="15" hidden="false" customHeight="false" outlineLevel="0" collapsed="false">
      <c r="A4" s="13" t="s">
        <v>909</v>
      </c>
      <c r="B4" s="13" t="s">
        <v>915</v>
      </c>
      <c r="C4" s="13" t="s">
        <v>911</v>
      </c>
      <c r="D4" s="13" t="s">
        <v>916</v>
      </c>
    </row>
    <row r="5" customFormat="false" ht="15" hidden="false" customHeight="false" outlineLevel="0" collapsed="false">
      <c r="A5" s="13" t="s">
        <v>909</v>
      </c>
      <c r="B5" s="13" t="s">
        <v>917</v>
      </c>
      <c r="C5" s="13" t="s">
        <v>911</v>
      </c>
      <c r="D5" s="13" t="s">
        <v>918</v>
      </c>
    </row>
    <row r="6" customFormat="false" ht="15" hidden="false" customHeight="false" outlineLevel="0" collapsed="false">
      <c r="A6" s="13" t="s">
        <v>909</v>
      </c>
      <c r="B6" s="13" t="s">
        <v>919</v>
      </c>
      <c r="C6" s="13" t="s">
        <v>911</v>
      </c>
      <c r="D6" s="13" t="s">
        <v>920</v>
      </c>
    </row>
    <row r="7" customFormat="false" ht="23.85" hidden="false" customHeight="false" outlineLevel="0" collapsed="false">
      <c r="A7" s="13" t="s">
        <v>909</v>
      </c>
      <c r="B7" s="13" t="s">
        <v>921</v>
      </c>
      <c r="C7" s="13" t="s">
        <v>911</v>
      </c>
      <c r="D7" s="13" t="s">
        <v>922</v>
      </c>
    </row>
    <row r="8" customFormat="false" ht="15" hidden="false" customHeight="false" outlineLevel="0" collapsed="false">
      <c r="A8" s="13" t="s">
        <v>909</v>
      </c>
      <c r="B8" s="13" t="s">
        <v>923</v>
      </c>
      <c r="C8" s="13" t="s">
        <v>911</v>
      </c>
      <c r="D8" s="13" t="s">
        <v>924</v>
      </c>
    </row>
    <row r="9" customFormat="false" ht="23.85" hidden="false" customHeight="false" outlineLevel="0" collapsed="false">
      <c r="A9" s="13" t="s">
        <v>925</v>
      </c>
      <c r="B9" s="13" t="s">
        <v>926</v>
      </c>
      <c r="C9" s="13" t="s">
        <v>927</v>
      </c>
      <c r="D9" s="13" t="s">
        <v>928</v>
      </c>
    </row>
    <row r="10" customFormat="false" ht="23.85" hidden="false" customHeight="false" outlineLevel="0" collapsed="false">
      <c r="A10" s="13" t="s">
        <v>925</v>
      </c>
      <c r="B10" s="13" t="s">
        <v>929</v>
      </c>
      <c r="C10" s="13" t="s">
        <v>927</v>
      </c>
      <c r="D10" s="13" t="s">
        <v>930</v>
      </c>
    </row>
    <row r="11" customFormat="false" ht="15" hidden="false" customHeight="false" outlineLevel="0" collapsed="false">
      <c r="A11" s="13" t="s">
        <v>925</v>
      </c>
      <c r="B11" s="13" t="s">
        <v>931</v>
      </c>
      <c r="C11" s="13" t="s">
        <v>927</v>
      </c>
      <c r="D11" s="13" t="s">
        <v>932</v>
      </c>
    </row>
    <row r="12" customFormat="false" ht="15" hidden="false" customHeight="false" outlineLevel="0" collapsed="false">
      <c r="A12" s="13" t="s">
        <v>925</v>
      </c>
      <c r="B12" s="13" t="s">
        <v>933</v>
      </c>
      <c r="C12" s="13" t="s">
        <v>927</v>
      </c>
      <c r="D12" s="13" t="s">
        <v>934</v>
      </c>
    </row>
    <row r="13" customFormat="false" ht="15" hidden="false" customHeight="false" outlineLevel="0" collapsed="false">
      <c r="A13" s="13" t="s">
        <v>925</v>
      </c>
      <c r="B13" s="13" t="s">
        <v>935</v>
      </c>
      <c r="C13" s="13" t="s">
        <v>927</v>
      </c>
      <c r="D13" s="13" t="s">
        <v>936</v>
      </c>
    </row>
    <row r="14" customFormat="false" ht="15" hidden="false" customHeight="false" outlineLevel="0" collapsed="false">
      <c r="A14" s="13" t="s">
        <v>937</v>
      </c>
      <c r="B14" s="13" t="s">
        <v>938</v>
      </c>
      <c r="C14" s="13" t="s">
        <v>939</v>
      </c>
      <c r="D14" s="13" t="s">
        <v>940</v>
      </c>
    </row>
    <row r="15" customFormat="false" ht="15" hidden="false" customHeight="false" outlineLevel="0" collapsed="false">
      <c r="A15" s="13" t="s">
        <v>937</v>
      </c>
      <c r="B15" s="13" t="s">
        <v>941</v>
      </c>
      <c r="C15" s="13" t="s">
        <v>939</v>
      </c>
      <c r="D15" s="13" t="s">
        <v>942</v>
      </c>
    </row>
    <row r="16" customFormat="false" ht="15" hidden="false" customHeight="false" outlineLevel="0" collapsed="false">
      <c r="A16" s="13" t="s">
        <v>937</v>
      </c>
      <c r="B16" s="13" t="s">
        <v>943</v>
      </c>
      <c r="C16" s="13" t="s">
        <v>944</v>
      </c>
      <c r="D16" s="13" t="s">
        <v>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2026-10-19T05:04:25Z</dcterms:created>
  <dc:creator>openpyxl</dc:creator>
  <dc:description/>
  <dc:language>en-US</dc:language>
  <cp:lastModifiedBy/>
  <dcterms:modified xsi:type="dcterms:W3CDTF">2026-10-19T05:04:25Z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